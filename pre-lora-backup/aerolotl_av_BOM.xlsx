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 name="JLC_BOM" sheetId="2" state="visible" r:id="rId4"/>
    <sheet name="Hand assembly &amp; loose" sheetId="3" state="visible" r:id="rId5"/>
    <sheet name="Changes" sheetId="4" state="visible" r:id="rId6"/>
    <sheet name="Open item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<sst xmlns="http://schemas.openxmlformats.org/spreadsheetml/2006/main" count="1407" uniqueCount="605">
  <si>
    <t xml:space="preserve">Designators</t>
  </si>
  <si>
    <t xml:space="preserve">Qty</t>
  </si>
  <si>
    <t xml:space="preserve">Value</t>
  </si>
  <si>
    <t xml:space="preserve">Footprint</t>
  </si>
  <si>
    <t xml:space="preserve">LCSC Part</t>
  </si>
  <si>
    <t xml:space="preserve">MPN</t>
  </si>
  <si>
    <t xml:space="preserve">Manufacturer</t>
  </si>
  <si>
    <t xml:space="preserve">Voltage</t>
  </si>
  <si>
    <t xml:space="preserve">Dielectric</t>
  </si>
  <si>
    <t xml:space="preserve">Tolerance</t>
  </si>
  <si>
    <t xml:space="preserve">ESR / DCR</t>
  </si>
  <si>
    <t xml:space="preserve">Power</t>
  </si>
  <si>
    <t xml:space="preserve">JLC library</t>
  </si>
  <si>
    <t xml:space="preserve">JLC stock (2026-10-02)</t>
  </si>
  <si>
    <t xml:space="preserve">Assembly</t>
  </si>
  <si>
    <t xml:space="preserve">Side</t>
  </si>
  <si>
    <t xml:space="preserve">Sheet</t>
  </si>
  <si>
    <t xml:space="preserve">Notes / datasheet check</t>
  </si>
  <si>
    <t xml:space="preserve">AE1</t>
  </si>
  <si>
    <t xml:space="preserve">GP.1575.18.4.A.02</t>
  </si>
  <si>
    <t xml:space="preserve">ANT_GP.1575.18.4.A.02_TAL</t>
  </si>
  <si>
    <t xml:space="preserve">C7281913</t>
  </si>
  <si>
    <t xml:space="preserve">Taoglas</t>
  </si>
  <si>
    <t xml:space="preserve">Extended</t>
  </si>
  <si>
    <t xml:space="preserve">Hand-place (no LCSC stock)</t>
  </si>
  <si>
    <t xml:space="preserve">Top</t>
  </si>
  <si>
    <t xml:space="preserve">sensors</t>
  </si>
  <si>
    <t xml:space="preserve">Taoglas patch has an LCSC number but 0 stock. Order from Digikey/Mouser and hand-place</t>
  </si>
  <si>
    <t xml:space="preserve">BZ1</t>
  </si>
  <si>
    <t xml:space="preserve">HNB09A03</t>
  </si>
  <si>
    <t xml:space="preserve">BUZ-TH_BD9.0-P5.00-D0.6-FD</t>
  </si>
  <si>
    <t xml:space="preserve">C96102</t>
  </si>
  <si>
    <t xml:space="preserve">Huaneng</t>
  </si>
  <si>
    <t xml:space="preserve">JLC THT</t>
  </si>
  <si>
    <t xml:space="preserve">indicators</t>
  </si>
  <si>
    <t xml:space="preserve">Active buzzer (internal oscillator): drive it on/off. PWM is only useful for beep patterns</t>
  </si>
  <si>
    <t xml:space="preserve">C1, C18, C22</t>
  </si>
  <si>
    <t xml:space="preserve">100n</t>
  </si>
  <si>
    <t xml:space="preserve">C_0603_1608Metric</t>
  </si>
  <si>
    <t xml:space="preserve">C14663</t>
  </si>
  <si>
    <t xml:space="preserve">CC0603KRX7R9BB104</t>
  </si>
  <si>
    <t xml:space="preserve">YAGEO</t>
  </si>
  <si>
    <t xml:space="preserve">50V</t>
  </si>
  <si>
    <t xml:space="preserve">X7R</t>
  </si>
  <si>
    <t xml:space="preserve">10%</t>
  </si>
  <si>
    <t xml:space="preserve">Basic</t>
  </si>
  <si>
    <t xml:space="preserve">JLC SMT</t>
  </si>
  <si>
    <t xml:space="preserve">mcu</t>
  </si>
  <si>
    <t xml:space="preserve">LMR51430: 0.1uF HF bypass at VIN, 50V; LMR51430: CBOOT 0.1uF X7R &gt;= 16V</t>
  </si>
  <si>
    <t xml:space="preserve">C2</t>
  </si>
  <si>
    <t xml:space="preserve">4u7</t>
  </si>
  <si>
    <t xml:space="preserve">C_0805_2012Metric</t>
  </si>
  <si>
    <t xml:space="preserve">C98195</t>
  </si>
  <si>
    <t xml:space="preserve">CL21B475KAFNNNE</t>
  </si>
  <si>
    <t xml:space="preserve">Samsung Electro-Mechanics</t>
  </si>
  <si>
    <t xml:space="preserve">25V</t>
  </si>
  <si>
    <t xml:space="preserve">STM32G474 DS12288 Fig.16: VDD n x 100nF + 1 x 4.7uF</t>
  </si>
  <si>
    <t xml:space="preserve">C3, C4, C5, C6, C7, C8, C12, C27, C28, C29, C31, C33, C35, C36, C37, C41, C44</t>
  </si>
  <si>
    <t xml:space="preserve">C_0402_1005Metric</t>
  </si>
  <si>
    <t xml:space="preserve">C1525</t>
  </si>
  <si>
    <t xml:space="preserve">CL05B104KO5NNNC</t>
  </si>
  <si>
    <t xml:space="preserve">16V</t>
  </si>
  <si>
    <t xml:space="preserve">ADXL345 DS: 0.1uF ceramic at VDD I/O; ADXL375 DS: 0.1uF ceramic at VDD I/O; STM32G474 DS12288 Fig.16: VREF+ 100nF + 1uF</t>
  </si>
  <si>
    <t xml:space="preserve">C9</t>
  </si>
  <si>
    <t xml:space="preserve">10n</t>
  </si>
  <si>
    <t xml:space="preserve">C15195</t>
  </si>
  <si>
    <t xml:space="preserve">CL05B103KB5NNNC</t>
  </si>
  <si>
    <t xml:space="preserve">STM32G474 DS12288 Fig.16: VDDA = 10nF + 1uF (was 100nF)</t>
  </si>
  <si>
    <t xml:space="preserve">C10, C11, C13</t>
  </si>
  <si>
    <t xml:space="preserve">1u</t>
  </si>
  <si>
    <t xml:space="preserve">C29936</t>
  </si>
  <si>
    <t xml:space="preserve">CL10B105KA8NNNC</t>
  </si>
  <si>
    <t xml:space="preserve">STM32G474 DS12288 Fig.16: VDDA 1uF; STM32G474 DS12288 Fig.16: VREF+ 100nF + 1uF</t>
  </si>
  <si>
    <t xml:space="preserve">C14, C15</t>
  </si>
  <si>
    <t xml:space="preserve">15p</t>
  </si>
  <si>
    <t xml:space="preserve">C1548</t>
  </si>
  <si>
    <t xml:space="preserve">0402CG150J500NT</t>
  </si>
  <si>
    <t xml:space="preserve">FH (Guangdong Fenghua)</t>
  </si>
  <si>
    <t xml:space="preserve">C0G</t>
  </si>
  <si>
    <t xml:space="preserve">5%</t>
  </si>
  <si>
    <t xml:space="preserve">HSE load cap, 12pF crystal: 2 x (12pF - ~4.5pF stray) = ~15pF</t>
  </si>
  <si>
    <t xml:space="preserve">C16, C17</t>
  </si>
  <si>
    <t xml:space="preserve">4.7p</t>
  </si>
  <si>
    <t xml:space="preserve">C1569</t>
  </si>
  <si>
    <t xml:space="preserve">0402CG4R7C500NT</t>
  </si>
  <si>
    <t xml:space="preserve">0.25pF</t>
  </si>
  <si>
    <t xml:space="preserve">Extended (preferred)</t>
  </si>
  <si>
    <t xml:space="preserve">LSE load cap for 6pF crystal: CL = C/2 + Cs (Cs ~3.5-4pF)</t>
  </si>
  <si>
    <t xml:space="preserve">C19</t>
  </si>
  <si>
    <t xml:space="preserve">10u</t>
  </si>
  <si>
    <t xml:space="preserve">C15850</t>
  </si>
  <si>
    <t xml:space="preserve">CL21A106KAYNNNE</t>
  </si>
  <si>
    <t xml:space="preserve">X5R</t>
  </si>
  <si>
    <t xml:space="preserve">power</t>
  </si>
  <si>
    <t xml:space="preserve">USB 2.0 allows at most 10uF on VBUS at attach (was 22uF)</t>
  </si>
  <si>
    <t xml:space="preserve">C20</t>
  </si>
  <si>
    <t xml:space="preserve">22u</t>
  </si>
  <si>
    <t xml:space="preserve">CP_EIA-3528-21_Kemet-B</t>
  </si>
  <si>
    <t xml:space="preserve">C8020</t>
  </si>
  <si>
    <t xml:space="preserve">TAJB226K016RNJ</t>
  </si>
  <si>
    <t xml:space="preserve">Kyocera AVX</t>
  </si>
  <si>
    <t xml:space="preserve">Tantalum (MnO2)</t>
  </si>
  <si>
    <t xml:space="preserve">2.3R @100kHz</t>
  </si>
  <si>
    <t xml:space="preserve">AMS1117 datasheet: 22uF solid tantalum on output for stability, needs its ESR (was a 22uF MLCC)</t>
  </si>
  <si>
    <t xml:space="preserve">C21</t>
  </si>
  <si>
    <t xml:space="preserve">C_1206_3216Metric</t>
  </si>
  <si>
    <t xml:space="preserve">C89632</t>
  </si>
  <si>
    <t xml:space="preserve">CL31B106KBHNNNE</t>
  </si>
  <si>
    <t xml:space="preserve">LMR51430 DS 9.2.2.6: CIN &gt;= 4.7uF X5R/X7R, rated about 2x VIN max (12.6V) -&gt; 50V. 10uF/50V X7R 1206 (was 4u7 0805)</t>
  </si>
  <si>
    <t xml:space="preserve">C23, C25</t>
  </si>
  <si>
    <t xml:space="preserve">100u</t>
  </si>
  <si>
    <t xml:space="preserve">C15008</t>
  </si>
  <si>
    <t xml:space="preserve">CL31A107MQHNNNE</t>
  </si>
  <si>
    <t xml:space="preserve">6.3V</t>
  </si>
  <si>
    <t xml:space="preserve">20%</t>
  </si>
  <si>
    <t xml:space="preserve">LMR51430 Table 9-1 (500kHz, 3.3V) asks for 2x22uF/25V. 100uF/6.3V X5R 1206 derates to ~40-50uF at 3.3V, about the same; TPS2116 DS 7.3.4: about 100uF on VOUT if reverse-current blocking can occur</t>
  </si>
  <si>
    <t xml:space="preserve">C24, C26</t>
  </si>
  <si>
    <t xml:space="preserve">C52923</t>
  </si>
  <si>
    <t xml:space="preserve">CL05A105KA5NQNC</t>
  </si>
  <si>
    <t xml:space="preserve">C30, C34</t>
  </si>
  <si>
    <t xml:space="preserve">CP_EIA-2012-12_Kemet-R</t>
  </si>
  <si>
    <t xml:space="preserve">C444768</t>
  </si>
  <si>
    <t xml:space="preserve">TAJR105K010RNJ</t>
  </si>
  <si>
    <t xml:space="preserve">10V</t>
  </si>
  <si>
    <t xml:space="preserve">25R @100kHz</t>
  </si>
  <si>
    <t xml:space="preserve">ADXL345 DS p.28: 1uF tantalum at VS; ADXL375 DS: 1uF tantalum at VS</t>
  </si>
  <si>
    <t xml:space="preserve">C32</t>
  </si>
  <si>
    <t xml:space="preserve">C19702</t>
  </si>
  <si>
    <t xml:space="preserve">CL10A106KP8NNNC</t>
  </si>
  <si>
    <t xml:space="preserve">C38</t>
  </si>
  <si>
    <t xml:space="preserve">C45783</t>
  </si>
  <si>
    <t xml:space="preserve">CL21A226MAQNNNE</t>
  </si>
  <si>
    <t xml:space="preserve">C39, C42</t>
  </si>
  <si>
    <t xml:space="preserve">150n</t>
  </si>
  <si>
    <t xml:space="preserve">C513735</t>
  </si>
  <si>
    <t xml:space="preserve">CC0603KRX7R9BB154</t>
  </si>
  <si>
    <t xml:space="preserve">igniter</t>
  </si>
  <si>
    <t xml:space="preserve">PMOS gate slow-turn-on cap across +12V_ARM: 50V</t>
  </si>
  <si>
    <t xml:space="preserve">C40, C43</t>
  </si>
  <si>
    <t xml:space="preserve">330u</t>
  </si>
  <si>
    <t xml:space="preserve">CP_Elec_8x10</t>
  </si>
  <si>
    <t xml:space="preserve">C970701</t>
  </si>
  <si>
    <t xml:space="preserve">RVT1E331M0810</t>
  </si>
  <si>
    <t xml:space="preserve">DMBJ</t>
  </si>
  <si>
    <t xml:space="preserve">Aluminum electrolytic</t>
  </si>
  <si>
    <t xml:space="preserve">not specified (standard 105C SMD Al-El)</t>
  </si>
  <si>
    <t xml:space="preserve">Igniter reservoir on +12V_ARM (3S, 12.6V max): 25V rating</t>
  </si>
  <si>
    <t xml:space="preserve">D1</t>
  </si>
  <si>
    <t xml:space="preserve">SMBJ15A</t>
  </si>
  <si>
    <t xml:space="preserve">SMB_L4.6-W3.6-LS5.3-RD</t>
  </si>
  <si>
    <t xml:space="preserve">C83846</t>
  </si>
  <si>
    <t xml:space="preserve">Littelfuse</t>
  </si>
  <si>
    <t xml:space="preserve">D2</t>
  </si>
  <si>
    <t xml:space="preserve">RS-3535MWAR-2JYJY-J</t>
  </si>
  <si>
    <t xml:space="preserve">LED-SMD_RS-3535MWAR-2JYJY-J</t>
  </si>
  <si>
    <t xml:space="preserve">C110402</t>
  </si>
  <si>
    <t xml:space="preserve">RS-3535MWAR</t>
  </si>
  <si>
    <t xml:space="preserve">NATIONSTAR</t>
  </si>
  <si>
    <t xml:space="preserve">Check: G/B Vf ~2.8-3.2V on a 3.3V anode leaves &lt;1mA through 330R (dim)</t>
  </si>
  <si>
    <t xml:space="preserve">D3</t>
  </si>
  <si>
    <t xml:space="preserve">STM LED</t>
  </si>
  <si>
    <t xml:space="preserve">LED0805-R-RD</t>
  </si>
  <si>
    <t xml:space="preserve">C2296</t>
  </si>
  <si>
    <t xml:space="preserve">KT-0805Y</t>
  </si>
  <si>
    <t xml:space="preserve">Hubei KENTO</t>
  </si>
  <si>
    <t xml:space="preserve">D4</t>
  </si>
  <si>
    <t xml:space="preserve">3V3 LED</t>
  </si>
  <si>
    <t xml:space="preserve">D5</t>
  </si>
  <si>
    <t xml:space="preserve">USB LED</t>
  </si>
  <si>
    <t xml:space="preserve">D6</t>
  </si>
  <si>
    <t xml:space="preserve">ARM LED</t>
  </si>
  <si>
    <t xml:space="preserve">D7, D10</t>
  </si>
  <si>
    <t xml:space="preserve">LED red</t>
  </si>
  <si>
    <t xml:space="preserve">LED_0603_1608Metric</t>
  </si>
  <si>
    <t xml:space="preserve">C2286</t>
  </si>
  <si>
    <t xml:space="preserve">KT-0603R</t>
  </si>
  <si>
    <t xml:space="preserve">D8, D9</t>
  </si>
  <si>
    <t xml:space="preserve">1N4148W</t>
  </si>
  <si>
    <t xml:space="preserve">D_SOD-123</t>
  </si>
  <si>
    <t xml:space="preserve">C81598</t>
  </si>
  <si>
    <t xml:space="preserve">ST(Semtech)</t>
  </si>
  <si>
    <t xml:space="preserve">F1, F2</t>
  </si>
  <si>
    <t xml:space="preserve">1812L150/24MR</t>
  </si>
  <si>
    <t xml:space="preserve">FUSE_1812L150&amp;slash_24_LTF</t>
  </si>
  <si>
    <t xml:space="preserve">C142805</t>
  </si>
  <si>
    <t xml:space="preserve">FB1</t>
  </si>
  <si>
    <t xml:space="preserve">100</t>
  </si>
  <si>
    <t xml:space="preserve">L_0805_2012Metric</t>
  </si>
  <si>
    <t xml:space="preserve">C1015</t>
  </si>
  <si>
    <t xml:space="preserve">GZ2012D101TF</t>
  </si>
  <si>
    <t xml:space="preserve">Sunlord</t>
  </si>
  <si>
    <t xml:space="preserve">FL1</t>
  </si>
  <si>
    <t xml:space="preserve">B39162B4300F210</t>
  </si>
  <si>
    <t xml:space="preserve">FILTER-SMD_5P-L1.4-W1.1_RSFPXXXXD</t>
  </si>
  <si>
    <t xml:space="preserve">C2650962</t>
  </si>
  <si>
    <t xml:space="preserve">Qualcomm (RF360)</t>
  </si>
  <si>
    <t xml:space="preserve">J1</t>
  </si>
  <si>
    <t xml:space="preserve">FTSH-107-STDC14</t>
  </si>
  <si>
    <t xml:space="preserve">STDC14_SAMTEC_FTSH-107-01-L-DV-K-A</t>
  </si>
  <si>
    <t xml:space="preserve">C5563894</t>
  </si>
  <si>
    <t xml:space="preserve">FTSH-107-01-L-DV-K-A</t>
  </si>
  <si>
    <t xml:space="preserve">Samtec</t>
  </si>
  <si>
    <t xml:space="preserve">swd</t>
  </si>
  <si>
    <t xml:space="preserve">J2</t>
  </si>
  <si>
    <t xml:space="preserve">USB_C_Receptacle_USB2.0_16P</t>
  </si>
  <si>
    <t xml:space="preserve">USB_C_Receptacle_HRO_TYPE-C-31-M-12</t>
  </si>
  <si>
    <t xml:space="preserve">C165948</t>
  </si>
  <si>
    <t xml:space="preserve">TYPE-C-31-M-12</t>
  </si>
  <si>
    <t xml:space="preserve">Korean Hroparts</t>
  </si>
  <si>
    <t xml:space="preserve">J3</t>
  </si>
  <si>
    <t xml:space="preserve">Battery (ext.)</t>
  </si>
  <si>
    <t xml:space="preserve">JST_PH_B2B-PH-K_1x02_P2.00mm_Vertical</t>
  </si>
  <si>
    <t xml:space="preserve">C131337</t>
  </si>
  <si>
    <t xml:space="preserve">B2B-PH-K-S(LF)(SN)</t>
  </si>
  <si>
    <t xml:space="preserve">JST</t>
  </si>
  <si>
    <t xml:space="preserve">Hand-solder (bottom side)</t>
  </si>
  <si>
    <t xml:space="preserve">Bottom</t>
  </si>
  <si>
    <t xml:space="preserve">External battery input (+BATT / GND) on the bottom side, hand-solder. JST PH is rated 2A per contact</t>
  </si>
  <si>
    <t xml:space="preserve">J4</t>
  </si>
  <si>
    <t xml:space="preserve">TF-102-15_SD_read</t>
  </si>
  <si>
    <t xml:space="preserve">TF-SMD_TF-102-15</t>
  </si>
  <si>
    <t xml:space="preserve">C266609</t>
  </si>
  <si>
    <t xml:space="preserve">TF-102-15</t>
  </si>
  <si>
    <t xml:space="preserve">XUNPU</t>
  </si>
  <si>
    <t xml:space="preserve">sd</t>
  </si>
  <si>
    <t xml:space="preserve">J5</t>
  </si>
  <si>
    <t xml:space="preserve">Conn_01x05_Pin</t>
  </si>
  <si>
    <t xml:space="preserve">JST_GH_BM05B-GHS-TBT_1x05-1MP_P1.25mm_Vertical</t>
  </si>
  <si>
    <t xml:space="preserve">C189891</t>
  </si>
  <si>
    <t xml:space="preserve">BM05B-GHS-TBT(LF)(SN)(N)</t>
  </si>
  <si>
    <t xml:space="preserve">external</t>
  </si>
  <si>
    <t xml:space="preserve">J6</t>
  </si>
  <si>
    <t xml:space="preserve">USART3</t>
  </si>
  <si>
    <t xml:space="preserve">JST_GH_BM04B-GHS-TBT_1x04-1MP_P1.25mm_Vertical</t>
  </si>
  <si>
    <t xml:space="preserve">C161692</t>
  </si>
  <si>
    <t xml:space="preserve">BM04B-GHS-TBT(LF)(SN)</t>
  </si>
  <si>
    <t xml:space="preserve">J7, J8</t>
  </si>
  <si>
    <t xml:space="preserve">StemmaQT</t>
  </si>
  <si>
    <t xml:space="preserve">C160390</t>
  </si>
  <si>
    <t xml:space="preserve">BM04B-SRSS-TB(LF)(SN)</t>
  </si>
  <si>
    <t xml:space="preserve">J9</t>
  </si>
  <si>
    <t xml:space="preserve">Conn_01x04_Pin</t>
  </si>
  <si>
    <t xml:space="preserve">J10</t>
  </si>
  <si>
    <t xml:space="preserve">GPIO_PE2-PE6</t>
  </si>
  <si>
    <t xml:space="preserve">PinHeader_1x07_P2.54mm_Vertical</t>
  </si>
  <si>
    <t xml:space="preserve">C492406</t>
  </si>
  <si>
    <t xml:space="preserve">PZ254V-11-07P</t>
  </si>
  <si>
    <t xml:space="preserve">XFCN</t>
  </si>
  <si>
    <t xml:space="preserve">J11</t>
  </si>
  <si>
    <t xml:space="preserve">GPIO_PE7-PE11</t>
  </si>
  <si>
    <t xml:space="preserve">J12</t>
  </si>
  <si>
    <t xml:space="preserve">LPUART1</t>
  </si>
  <si>
    <t xml:space="preserve">J14</t>
  </si>
  <si>
    <t xml:space="preserve">Screw_Terminal_01x02</t>
  </si>
  <si>
    <t xml:space="preserve">TerminalBlock_Kangnex_WJ2EDGVM-5.08-02P_1x02_P5.08mm_Vertical</t>
  </si>
  <si>
    <t xml:space="preserve">C193973</t>
  </si>
  <si>
    <t xml:space="preserve">WJ2EDGVM-5.08-02P-14-00A</t>
  </si>
  <si>
    <t xml:space="preserve">KANGNEX</t>
  </si>
  <si>
    <t xml:space="preserve">DROGUE (CH0) on the bottom side, hand-solder. Vertical pluggable header + screw plug C63303; Also: WJ2EDGKM-5.08-02P-14-00A (LCSC C63303)</t>
  </si>
  <si>
    <t xml:space="preserve">J15</t>
  </si>
  <si>
    <t xml:space="preserve">MAIN (CH1) on the top side. Vertical pluggable header + screw plug C63303; Also: WJ2EDGKM-5.08-02P-14-00A (LCSC C63303)</t>
  </si>
  <si>
    <t xml:space="preserve">L1</t>
  </si>
  <si>
    <t xml:space="preserve">5.6u</t>
  </si>
  <si>
    <t xml:space="preserve">L_Cjiang_FXL0630_7.0x6.6mm</t>
  </si>
  <si>
    <t xml:space="preserve">C475914</t>
  </si>
  <si>
    <t xml:space="preserve">FXL0630-5R6-M</t>
  </si>
  <si>
    <t xml:space="preserve">cjiang (Changjiang Microelectronics)</t>
  </si>
  <si>
    <t xml:space="preserve">42mR max</t>
  </si>
  <si>
    <t xml:space="preserve">LMR51430 Table 9-1: 5.6uH at 500kHz/3.3V. Isat must exceed the HS current limit (4.76A typ) -&gt; FXL0630 (was 4.7uH 4030, Isat ~2A)</t>
  </si>
  <si>
    <t xml:space="preserve">Q1</t>
  </si>
  <si>
    <t xml:space="preserve">AO4407A</t>
  </si>
  <si>
    <t xml:space="preserve">SOIC-8_L4.9-W3.9-P1.27-LS6.0-BL</t>
  </si>
  <si>
    <t xml:space="preserve">C16072</t>
  </si>
  <si>
    <t xml:space="preserve">AOS</t>
  </si>
  <si>
    <t xml:space="preserve">Q2, Q4, Q6</t>
  </si>
  <si>
    <t xml:space="preserve">AO3400A</t>
  </si>
  <si>
    <t xml:space="preserve">SOT-23</t>
  </si>
  <si>
    <t xml:space="preserve">C20917</t>
  </si>
  <si>
    <t xml:space="preserve">Q3, Q5</t>
  </si>
  <si>
    <t xml:space="preserve">FDS6673BZ_C467780</t>
  </si>
  <si>
    <t xml:space="preserve">C467780</t>
  </si>
  <si>
    <t xml:space="preserve">FDS6673BZ</t>
  </si>
  <si>
    <t xml:space="preserve">onsemi</t>
  </si>
  <si>
    <t xml:space="preserve">R1, R2</t>
  </si>
  <si>
    <t xml:space="preserve">10k</t>
  </si>
  <si>
    <t xml:space="preserve">R_0603_1608Metric</t>
  </si>
  <si>
    <t xml:space="preserve">C25804</t>
  </si>
  <si>
    <t xml:space="preserve">0603WAF1002T5E</t>
  </si>
  <si>
    <t xml:space="preserve">UNI-ROYAL</t>
  </si>
  <si>
    <t xml:space="preserve">75V</t>
  </si>
  <si>
    <t xml:space="preserve">1%</t>
  </si>
  <si>
    <t xml:space="preserve">100mW</t>
  </si>
  <si>
    <t xml:space="preserve">R3</t>
  </si>
  <si>
    <t xml:space="preserve">47</t>
  </si>
  <si>
    <t xml:space="preserve">R_0402_1005Metric</t>
  </si>
  <si>
    <t xml:space="preserve">C25118</t>
  </si>
  <si>
    <t xml:space="preserve">0402WGF470JTCE</t>
  </si>
  <si>
    <t xml:space="preserve">62.5mW</t>
  </si>
  <si>
    <t xml:space="preserve">R4, R38, R46</t>
  </si>
  <si>
    <t xml:space="preserve">C25076</t>
  </si>
  <si>
    <t xml:space="preserve">0402WGF1000TCE</t>
  </si>
  <si>
    <t xml:space="preserve">R5</t>
  </si>
  <si>
    <t xml:space="preserve">0R</t>
  </si>
  <si>
    <t xml:space="preserve">C21189</t>
  </si>
  <si>
    <t xml:space="preserve">0603WAF0000T5E</t>
  </si>
  <si>
    <t xml:space="preserve">R6, R7</t>
  </si>
  <si>
    <t xml:space="preserve">5k1</t>
  </si>
  <si>
    <t xml:space="preserve">C25905</t>
  </si>
  <si>
    <t xml:space="preserve">0402WGF5101TCE</t>
  </si>
  <si>
    <t xml:space="preserve">R8, R13</t>
  </si>
  <si>
    <t xml:space="preserve">100k</t>
  </si>
  <si>
    <t xml:space="preserve">C25741</t>
  </si>
  <si>
    <t xml:space="preserve">0402WGF1003TCE</t>
  </si>
  <si>
    <t xml:space="preserve">LMR51430 FB top 100k (Vout = 0.6 x (1 + 100/22.1) = 3.315V)</t>
  </si>
  <si>
    <t xml:space="preserve">R9</t>
  </si>
  <si>
    <t xml:space="preserve">22k1</t>
  </si>
  <si>
    <t xml:space="preserve">C43473</t>
  </si>
  <si>
    <t xml:space="preserve">0402WGF2212TCE</t>
  </si>
  <si>
    <t xml:space="preserve">LMR51430 FB bottom 22.1k</t>
  </si>
  <si>
    <t xml:space="preserve">R10</t>
  </si>
  <si>
    <t xml:space="preserve">9k53</t>
  </si>
  <si>
    <t xml:space="preserve">C96273</t>
  </si>
  <si>
    <t xml:space="preserve">0402WGF9531TCE</t>
  </si>
  <si>
    <t xml:space="preserve">R11, R14, R27, R28, R29, R30, R31, R41, R44, R47, R49</t>
  </si>
  <si>
    <t xml:space="preserve">C25744</t>
  </si>
  <si>
    <t xml:space="preserve">0402WGF1002TCE</t>
  </si>
  <si>
    <t xml:space="preserve">R12</t>
  </si>
  <si>
    <t xml:space="preserve">4k99</t>
  </si>
  <si>
    <t xml:space="preserve">C25903</t>
  </si>
  <si>
    <t xml:space="preserve">0402WGF4991TCE</t>
  </si>
  <si>
    <t xml:space="preserve">5k is not a standard value. 4.99k (E96) gives PR1 = 1.134V (was 1.136V)</t>
  </si>
  <si>
    <t xml:space="preserve">R15, R26</t>
  </si>
  <si>
    <t xml:space="preserve">3k3</t>
  </si>
  <si>
    <t xml:space="preserve">C25890</t>
  </si>
  <si>
    <t xml:space="preserve">0402WGF3301TCE</t>
  </si>
  <si>
    <t xml:space="preserve">R16, R17, R18, R32, R33, R34, R35</t>
  </si>
  <si>
    <t xml:space="preserve">10</t>
  </si>
  <si>
    <t xml:space="preserve">C25077</t>
  </si>
  <si>
    <t xml:space="preserve">0402WGF100JTCE</t>
  </si>
  <si>
    <t xml:space="preserve">R19, R20, R21, R40, R51</t>
  </si>
  <si>
    <t xml:space="preserve">330</t>
  </si>
  <si>
    <t xml:space="preserve">C25104</t>
  </si>
  <si>
    <t xml:space="preserve">0402WGF3300TCE</t>
  </si>
  <si>
    <t xml:space="preserve">R22, R23</t>
  </si>
  <si>
    <t xml:space="preserve">470</t>
  </si>
  <si>
    <t xml:space="preserve">C25117</t>
  </si>
  <si>
    <t xml:space="preserve">0402WGF4700TCE</t>
  </si>
  <si>
    <t xml:space="preserve">R24</t>
  </si>
  <si>
    <t xml:space="preserve">910</t>
  </si>
  <si>
    <t xml:space="preserve">C44933</t>
  </si>
  <si>
    <t xml:space="preserve">0402WGF9100TCE</t>
  </si>
  <si>
    <t xml:space="preserve">R25, R36, R43</t>
  </si>
  <si>
    <t xml:space="preserve">C22978</t>
  </si>
  <si>
    <t xml:space="preserve">0603WAF3301T5E</t>
  </si>
  <si>
    <t xml:space="preserve">ARM LED from +12V_ARM: ~3.2mA, 34mW -&gt; 0603; Bleeder 12.6V^2/3.3k = 48mW -&gt; 0603 100mW</t>
  </si>
  <si>
    <t xml:space="preserve">R37, R45</t>
  </si>
  <si>
    <t xml:space="preserve">1k</t>
  </si>
  <si>
    <t xml:space="preserve">R_1206_3216Metric</t>
  </si>
  <si>
    <t xml:space="preserve">C4410</t>
  </si>
  <si>
    <t xml:space="preserve">1206W4F1001T5E</t>
  </si>
  <si>
    <t xml:space="preserve">200V</t>
  </si>
  <si>
    <t xml:space="preserve">250mW</t>
  </si>
  <si>
    <t xml:space="preserve">P = 0.13W while firing (12.6V / 1.1k) -&gt; 1206 0.25W</t>
  </si>
  <si>
    <t xml:space="preserve">R39, R50</t>
  </si>
  <si>
    <t xml:space="preserve">8k2</t>
  </si>
  <si>
    <t xml:space="preserve">C25924</t>
  </si>
  <si>
    <t xml:space="preserve">0402WGF8201TCE</t>
  </si>
  <si>
    <t xml:space="preserve">R42, R48</t>
  </si>
  <si>
    <t xml:space="preserve">33k</t>
  </si>
  <si>
    <t xml:space="preserve">C25779</t>
  </si>
  <si>
    <t xml:space="preserve">0402WGF3302TCE</t>
  </si>
  <si>
    <t xml:space="preserve">SW1</t>
  </si>
  <si>
    <t xml:space="preserve">SW_SPST</t>
  </si>
  <si>
    <t xml:space="preserve">SW_SPST_TL3342</t>
  </si>
  <si>
    <t xml:space="preserve">C2886898</t>
  </si>
  <si>
    <t xml:space="preserve">TL3342F160QG</t>
  </si>
  <si>
    <t xml:space="preserve">E-Switch</t>
  </si>
  <si>
    <t xml:space="preserve">SW2</t>
  </si>
  <si>
    <t xml:space="preserve">SW_Push</t>
  </si>
  <si>
    <t xml:space="preserve">SW3</t>
  </si>
  <si>
    <t xml:space="preserve">JST_XH_B2B-XH-A_1x02_P2.50mm_Vertical</t>
  </si>
  <si>
    <t xml:space="preserve">C158012</t>
  </si>
  <si>
    <t xml:space="preserve">B2B-XH-A(LF)(SN)</t>
  </si>
  <si>
    <t xml:space="preserve">U1</t>
  </si>
  <si>
    <t xml:space="preserve">STM32G474VETx</t>
  </si>
  <si>
    <t xml:space="preserve">LQFP-100_14x14mm_P0.5mm</t>
  </si>
  <si>
    <t xml:space="preserve">C431632</t>
  </si>
  <si>
    <t xml:space="preserve">STM32G474VET6</t>
  </si>
  <si>
    <t xml:space="preserve">STMicroelectronics</t>
  </si>
  <si>
    <t xml:space="preserve">Low stock (9 at LCSC / 39 at JLC). Reserve parts before ordering</t>
  </si>
  <si>
    <t xml:space="preserve">U2</t>
  </si>
  <si>
    <t xml:space="preserve">LMR51430XFDDCR</t>
  </si>
  <si>
    <t xml:space="preserve">TSOT-23-6</t>
  </si>
  <si>
    <t xml:space="preserve">C5219260</t>
  </si>
  <si>
    <t xml:space="preserve">Texas Instruments</t>
  </si>
  <si>
    <t xml:space="preserve">U3</t>
  </si>
  <si>
    <t xml:space="preserve">AMS1117-3.3</t>
  </si>
  <si>
    <t xml:space="preserve">SOT-223-3_TabPin2</t>
  </si>
  <si>
    <t xml:space="preserve">C6186</t>
  </si>
  <si>
    <t xml:space="preserve">Advanced Monolithic Systems</t>
  </si>
  <si>
    <t xml:space="preserve">U4</t>
  </si>
  <si>
    <t xml:space="preserve">USBLC6-2P6</t>
  </si>
  <si>
    <t xml:space="preserve">SOT-666</t>
  </si>
  <si>
    <t xml:space="preserve">C15999</t>
  </si>
  <si>
    <t xml:space="preserve">U5</t>
  </si>
  <si>
    <t xml:space="preserve">TPS2116DRL</t>
  </si>
  <si>
    <t xml:space="preserve">SOT-583-8</t>
  </si>
  <si>
    <t xml:space="preserve">C3235557</t>
  </si>
  <si>
    <t xml:space="preserve">TPS2116DRLR</t>
  </si>
  <si>
    <t xml:space="preserve">U6</t>
  </si>
  <si>
    <t xml:space="preserve">BMI088</t>
  </si>
  <si>
    <t xml:space="preserve">Bosch_LGA-16_4.5x3mm_P0.5mm_LayoutBorder7x1y_ClockwisePinNumbering</t>
  </si>
  <si>
    <t xml:space="preserve">C194919</t>
  </si>
  <si>
    <t xml:space="preserve">Bosch Sensortec</t>
  </si>
  <si>
    <t xml:space="preserve">U7</t>
  </si>
  <si>
    <t xml:space="preserve">ADXL345BCCZ-RL7</t>
  </si>
  <si>
    <t xml:space="preserve">ADI_LGA-14_3x5mm_P0.8mm</t>
  </si>
  <si>
    <t xml:space="preserve">C9667</t>
  </si>
  <si>
    <t xml:space="preserve">Analog Devices</t>
  </si>
  <si>
    <t xml:space="preserve">U8</t>
  </si>
  <si>
    <t xml:space="preserve">MAX-M10S</t>
  </si>
  <si>
    <t xml:space="preserve">ublox_MAX</t>
  </si>
  <si>
    <t xml:space="preserve">C4153167</t>
  </si>
  <si>
    <t xml:space="preserve">MAX-M10S-00B</t>
  </si>
  <si>
    <t xml:space="preserve">u-blox</t>
  </si>
  <si>
    <t xml:space="preserve">U9</t>
  </si>
  <si>
    <t xml:space="preserve">ADXL375BCCZ-RL7</t>
  </si>
  <si>
    <t xml:space="preserve">C481898</t>
  </si>
  <si>
    <t xml:space="preserve">Low stock (74 at JLC)</t>
  </si>
  <si>
    <t xml:space="preserve">U10</t>
  </si>
  <si>
    <t xml:space="preserve">BMP581</t>
  </si>
  <si>
    <t xml:space="preserve">LGA-10_L2.0-W2.0-P0.50-TL_BMP581</t>
  </si>
  <si>
    <t xml:space="preserve">C5362283</t>
  </si>
  <si>
    <t xml:space="preserve">U11</t>
  </si>
  <si>
    <t xml:space="preserve">Airlift</t>
  </si>
  <si>
    <t xml:space="preserve">Ada_Airlift</t>
  </si>
  <si>
    <t xml:space="preserve">C2897375</t>
  </si>
  <si>
    <t xml:space="preserve">PM254-1-12-Z-8.5</t>
  </si>
  <si>
    <t xml:space="preserve">HCTL</t>
  </si>
  <si>
    <t xml:space="preserve">Optional (not in JLC BOM)</t>
  </si>
  <si>
    <t xml:space="preserve">airlift</t>
  </si>
  <si>
    <t xml:space="preserve">The board-side part is the 1x12 female socket. The Airlift module (Adafruit 4201) plugs in; Also: Adafruit AirLift ESP32 breakout PID 4201 (plugs in, not from LCSC)</t>
  </si>
  <si>
    <t xml:space="preserve">Y1</t>
  </si>
  <si>
    <t xml:space="preserve">25MHz</t>
  </si>
  <si>
    <t xml:space="preserve">CRYSTAL-SMD_4P-L3.2-W2.5-BL</t>
  </si>
  <si>
    <t xml:space="preserve">C9006</t>
  </si>
  <si>
    <t xml:space="preserve">X322525MOB4SI</t>
  </si>
  <si>
    <t xml:space="preserve">YXC</t>
  </si>
  <si>
    <t xml:space="preserve">25MHz 12pF crystal</t>
  </si>
  <si>
    <t xml:space="preserve">Y2</t>
  </si>
  <si>
    <t xml:space="preserve">32.768kHz</t>
  </si>
  <si>
    <t xml:space="preserve">Crystal_SMD_3215-2Pin_3.2x1.5mm</t>
  </si>
  <si>
    <t xml:space="preserve">C20340322</t>
  </si>
  <si>
    <t xml:space="preserve">FC-135 32.7680KA-E</t>
  </si>
  <si>
    <t xml:space="preserve">Seiko Epson</t>
  </si>
  <si>
    <t xml:space="preserve">6pF / 70k ESR crystal: gm_crit ~0.6uA/V. Use LSEDRV = medium-high (1.7uA/V max) for &gt;2x margin</t>
  </si>
  <si>
    <t xml:space="preserve">Total placements</t>
  </si>
  <si>
    <t xml:space="preserve">BOM lines missing an LCSC number</t>
  </si>
  <si>
    <t xml:space="preserve">Not in BOM (no part to buy): TP1-TP10 plated-hole test points, H1/H2 (3/8in rod holes), H3 (TeleMetrum sled holes).</t>
  </si>
  <si>
    <t xml:space="preserve">Comment</t>
  </si>
  <si>
    <t xml:space="preserve">Designator</t>
  </si>
  <si>
    <t xml:space="preserve">LCSC Part #</t>
  </si>
  <si>
    <t xml:space="preserve">C1,C18,C22</t>
  </si>
  <si>
    <t xml:space="preserve">C3,C4,C5,C6,C7,C8,C12,C27,C28,C29,C31,C33,C35,C36,C37,C41,C44</t>
  </si>
  <si>
    <t xml:space="preserve">C10,C11,C13</t>
  </si>
  <si>
    <t xml:space="preserve">C14,C15</t>
  </si>
  <si>
    <t xml:space="preserve">C16,C17</t>
  </si>
  <si>
    <t xml:space="preserve">C23,C25</t>
  </si>
  <si>
    <t xml:space="preserve">C24,C26</t>
  </si>
  <si>
    <t xml:space="preserve">C30,C34</t>
  </si>
  <si>
    <t xml:space="preserve">C39,C42</t>
  </si>
  <si>
    <t xml:space="preserve">C40,C43</t>
  </si>
  <si>
    <t xml:space="preserve">D3,D4,D5,D6</t>
  </si>
  <si>
    <t xml:space="preserve">D7,D10</t>
  </si>
  <si>
    <t xml:space="preserve">D8,D9</t>
  </si>
  <si>
    <t xml:space="preserve">F1,F2</t>
  </si>
  <si>
    <t xml:space="preserve">J6,J9,J12</t>
  </si>
  <si>
    <t xml:space="preserve">J7,J8</t>
  </si>
  <si>
    <t xml:space="preserve">J10,J11</t>
  </si>
  <si>
    <t xml:space="preserve">Q2,Q4,Q6</t>
  </si>
  <si>
    <t xml:space="preserve">Q3,Q5</t>
  </si>
  <si>
    <t xml:space="preserve">R1,R2</t>
  </si>
  <si>
    <t xml:space="preserve">R4,R38,R46</t>
  </si>
  <si>
    <t xml:space="preserve">R6,R7</t>
  </si>
  <si>
    <t xml:space="preserve">R8,R13</t>
  </si>
  <si>
    <t xml:space="preserve">R11,R14,R27,R28,R29,R30,R31,R41,R44,R47,R49</t>
  </si>
  <si>
    <t xml:space="preserve">R15,R26</t>
  </si>
  <si>
    <t xml:space="preserve">R16,R17,R18,R32,R33,R34,R35</t>
  </si>
  <si>
    <t xml:space="preserve">R19,R20,R21,R40,R51</t>
  </si>
  <si>
    <t xml:space="preserve">R22,R23</t>
  </si>
  <si>
    <t xml:space="preserve">R25,R36,R43</t>
  </si>
  <si>
    <t xml:space="preserve">R37,R45</t>
  </si>
  <si>
    <t xml:space="preserve">R39,R50</t>
  </si>
  <si>
    <t xml:space="preserve">R42,R48</t>
  </si>
  <si>
    <t xml:space="preserve">SW1,SW2</t>
  </si>
  <si>
    <t xml:space="preserve">Item</t>
  </si>
  <si>
    <t xml:space="preserve">Why / how</t>
  </si>
  <si>
    <t xml:space="preserve">Drogue terminal header (bottom side)</t>
  </si>
  <si>
    <t xml:space="preserve">THT on B.Cu. JLC will not assemble the second side, so hand-solder.</t>
  </si>
  <si>
    <t xml:space="preserve">Battery connector (bottom side)</t>
  </si>
  <si>
    <t xml:space="preserve">JST PH 2-pin, THT on B.Cu, hand-solder. Pin 1 = +BATT, pin 2 = GND.</t>
  </si>
  <si>
    <t xml:space="preserve">Terminal plugs (screw, flange-locked, top wire entry)</t>
  </si>
  <si>
    <t xml:space="preserve">mates J14, J15</t>
  </si>
  <si>
    <t xml:space="preserve">C63303</t>
  </si>
  <si>
    <t xml:space="preserve">WJ2EDGKM-5.08-02P-14-00A</t>
  </si>
  <si>
    <t xml:space="preserve">Loose parts, not placed. The flange screws lock the plug to the header.</t>
  </si>
  <si>
    <t xml:space="preserve">Battery cable housing</t>
  </si>
  <si>
    <t xml:space="preserve">mates J3</t>
  </si>
  <si>
    <t xml:space="preserve">PHR-2 + SPH-002T-P0.5S</t>
  </si>
  <si>
    <t xml:space="preserve">Make the harness to the CamControl battery board.</t>
  </si>
  <si>
    <t xml:space="preserve">GPS patch antenna</t>
  </si>
  <si>
    <t xml:space="preserve">LCSC/JLC stock is 0: buy from Digikey/Mouser, hand-place.</t>
  </si>
  <si>
    <t xml:space="preserve">Adafruit AirLift breakout</t>
  </si>
  <si>
    <t xml:space="preserve">C2897375 (socket)</t>
  </si>
  <si>
    <t xml:space="preserve">Adafruit PID 4201 + PM254-1-12-Z-8.5</t>
  </si>
  <si>
    <t xml:space="preserve">Optional (U11 is in_bom=no). Socket is THT, can go in JLC THT if wanted.</t>
  </si>
  <si>
    <t xml:space="preserve">M4 screws, washers, nuts for TeleMetrum sled</t>
  </si>
  <si>
    <t xml:space="preserve">H3</t>
  </si>
  <si>
    <t xml:space="preserve">M4x0.7 SHCS x10/x12 (Onshape BOM)</t>
  </si>
  <si>
    <t xml:space="preserve">Through H3 into the sled nut traps.</t>
  </si>
  <si>
    <t xml:space="preserve">3/8-16 threaded rod hardware</t>
  </si>
  <si>
    <t xml:space="preserve">H1, H2</t>
  </si>
  <si>
    <t xml:space="preserve">Hex nut 3/8-16 + 3/8 washers</t>
  </si>
  <si>
    <t xml:space="preserve">Clamp the board on the rods. 9.6mm keepout ring on both sides.</t>
  </si>
  <si>
    <t xml:space="preserve">Area</t>
  </si>
  <si>
    <t xml:space="preserve">Change</t>
  </si>
  <si>
    <t xml:space="preserve">Reason / source</t>
  </si>
  <si>
    <t xml:space="preserve">Board outline</t>
  </si>
  <si>
    <t xml:space="preserve">Outline changed from a 152.4mm circle to the lower (CamControl) PCB outline from Onshape: 145.29mm dia, a 40mm-wide TeleMetrum notch at the bottom (inner edge 14mm in), and two 10mm x 6mm radial wire slots at 130 and 33 deg.</t>
  </si>
  <si>
    <t xml:space="preserve">Onshape AV Bay - Parametric, CamControl battery PCB top face. The coupler inner disc is 147.3mm, so the old 152.4mm board would not fit. Removed the "add cutouts" text from Edge.Cuts.</t>
  </si>
  <si>
    <t xml:space="preserve">Threaded rods</t>
  </si>
  <si>
    <t xml:space="preserve">H1/H2 moved to exactly (center +/-60mm, center), symmetric on the horizontal center line. Hole is 10.32mm NPTH, with a 9.6mm-radius courtyard and copper keepout on both sides for the washer and nut.</t>
  </si>
  <si>
    <t xml:space="preserve">Onshape rod holes r=5.159 at x=+/-60. Old holes were M6 (6.4mm), too small for 3/8" rod, and off-center (65.8 / 65.45mm, y +0.25).</t>
  </si>
  <si>
    <t xml:space="preserve">TeleMetrum</t>
  </si>
  <si>
    <t xml:space="preserve">Added H3: 2x 4.5mm M4 holes 17.4mm apart, 50mm below center. M4 washer keepout on top, sled-body keepout on the bottom.</t>
  </si>
  <si>
    <t xml:space="preserve">Onshape TeleMetrum sled (3D print) bolt holes r=2.25 at (+/-8.7, -50). The sled stands between this board and the lower PCB.</t>
  </si>
  <si>
    <t xml:space="preserve">J10 / J11</t>
  </si>
  <si>
    <t xml:space="preserve">JST GH 7-pin replaced by 2.54mm 1x7 pin headers (PZ254V-11-07P). Moved to the left side next to the other external connectors. GPIO names added on silkscreen.</t>
  </si>
  <si>
    <t xml:space="preserve">Request. The MPN field said SM07B (horizontal) while the footprint was BM07B (vertical), which was also inconsistent.</t>
  </si>
  <si>
    <t xml:space="preserve">U11 Airlift</t>
  </si>
  <si>
    <t xml:space="preserve">New Ada_Airlift footprint built from the Adafruit Eagle board: 1x12 header with correct pin order, 31.75x33.02mm outline, two M2.5 holes, and a copper keepout under the ESP32 antenna. Placed on the right side, clear of the rod. Updated in both aerolotl_av and aerolotl libraries.</t>
  </si>
  <si>
    <t xml:space="preserve">github.com/adafruit/Adafruit-AirLift-Breakout-PCB. The old footprint had no pads, and the board used a plain 1x12 socket.</t>
  </si>
  <si>
    <t xml:space="preserve">Igniter terminals</t>
  </si>
  <si>
    <t xml:space="preserve">J15 MAIN (top) and J14 DROGUE (bottom) are now vertical pluggable headers (Kangnex WJ2EDGVM-5.08, screw-flange) with WJ2EDGKM screw plugs, so the wires leave perpendicular to the board. J14 sits next to slot A so drogue wires drop through the lower PCB slot.</t>
  </si>
  <si>
    <t xml:space="preserve">Request: main routes upward, drogue underneath and hand-soldered. JLC has no stock of a one-piece vertical screw terminal.</t>
  </si>
  <si>
    <t xml:space="preserve">Battery</t>
  </si>
  <si>
    <t xml:space="preserve">BT1-BT3 18650 holders removed. J3 (was XT30 pin-switch) is now the external battery input: JST PH 2-pin on the bottom (+BATT / GND). Removed the leftover VBAT_PACK label that tied J3 pin 2 to GND.</t>
  </si>
  <si>
    <t xml:space="preserve">Request: batteries are external. Matches your edit that rewired J3 to +BATT/GND.</t>
  </si>
  <si>
    <t xml:space="preserve">Re-placement</t>
  </si>
  <si>
    <t xml:space="preserve">Moved edge connectors 3.6mm in (J2, J4, J5, J6, J9, J12) and AE1 2.6mm in, both igniter channels up and outward away from the sled washers and notch, indicators and the buzzer into the free right-middle area, SW3, TP3 and TP6, plus small nudges to clear new courtyards. The buck inductor moved for the larger part.</t>
  </si>
  <si>
    <t xml:space="preserve">The new outline, holes and keepouts. The board is unrouted, so nothing was ripped up. Review the placement.</t>
  </si>
  <si>
    <t xml:space="preserve">MCU</t>
  </si>
  <si>
    <t xml:space="preserve">Every used U1 pin now shows its function (KiCad pin alternates: USART2_TX, SPI1_SCK, ADC1_IN1 and so on). Added GPIO_Output, GPIO_Input and GPIO_EXTIx alternates for plain-GPIO pins to the symbol, both embedded and in the library.</t>
  </si>
  <si>
    <t xml:space="preserve">Request. All 42 AF functions in AV_PINMAP.md exist as G474 alternates, which confirms the pin map.</t>
  </si>
  <si>
    <t xml:space="preserve">100nF -&gt; 10nF (VDDA HF cap)</t>
  </si>
  <si>
    <t xml:space="preserve">STM32G474 DS12288 Fig.16: VDDA 10nF + 1uF</t>
  </si>
  <si>
    <t xml:space="preserve">Y2, C16, C17</t>
  </si>
  <si>
    <t xml:space="preserve">LSE crystal Epson FC-135 32.7680KA-E (6pF, 70k). Load caps 15pF -&gt; 4.7pF C0G.</t>
  </si>
  <si>
    <t xml:space="preserve">15pF caps on a 6-12.5pF crystal pull the frequency. A 6pF crystal keeps gm_crit at about 0.6uA/V, under the 1.7uA/V of LSEDRV medium-high.</t>
  </si>
  <si>
    <t xml:space="preserve">22uF -&gt; 10uF on VBUS</t>
  </si>
  <si>
    <t xml:space="preserve">USB 2.0 limits capacitance on VBUS at attach to 10uF</t>
  </si>
  <si>
    <t xml:space="preserve">22uF MLCC -&gt; 22uF/16V tantalum (2.3R ESR), case B</t>
  </si>
  <si>
    <t xml:space="preserve">AMS1117 datasheet: 22uF solid tantalum on the output for stability. A low-ESR MLCC alone can oscillate.</t>
  </si>
  <si>
    <t xml:space="preserve">4.7uF 0805 -&gt; 10uF/50V X7R 1206</t>
  </si>
  <si>
    <t xml:space="preserve">LMR51430 DS 9.2.2.6: CIN &gt;= 4.7uF, rated about 2x VIN max (12.6V)</t>
  </si>
  <si>
    <t xml:space="preserve">4.7uH 4030 (Isat ~2A) -&gt; 5.6uH FXL0630 (Isat 5.5A, 42mR)</t>
  </si>
  <si>
    <t xml:space="preserve">LMR51430 Table 9-1 (500kHz, 3.3V) calls for 5.6uH, and Isat must exceed the 4.76A typ HS current limit</t>
  </si>
  <si>
    <t xml:space="preserve">1uF 0402 MLCC -&gt; 1uF/10V tantalum (case R)</t>
  </si>
  <si>
    <t xml:space="preserve">ADXL345 / ADXL375 datasheets: 1uF tantalum at VS, 0.1uF ceramic at VDD I/O</t>
  </si>
  <si>
    <t xml:space="preserve">U7, U9</t>
  </si>
  <si>
    <t xml:space="preserve">Both now use ADI_LGA-14_3x5mm_P0.8mm (ADI recommended land pattern). Pin orientation is preserved.</t>
  </si>
  <si>
    <t xml:space="preserve">ADXL345 DS Fig.59. The two old footprints for the same package disagreed, and the ADXL375 one had 1.77mm hand-solder pads.</t>
  </si>
  <si>
    <t xml:space="preserve">Footprint SOT-23-6 -&gt; TSOT-23-6</t>
  </si>
  <si>
    <t xml:space="preserve">LMR51430XFDDCR is the DDC (thin SOT) package. The pads are identical.</t>
  </si>
  <si>
    <t xml:space="preserve">5k -&gt; 4.99k</t>
  </si>
  <si>
    <t xml:space="preserve">5k is not a stocked 1% value. PR1 threshold 1.134V vs 1.136V.</t>
  </si>
  <si>
    <t xml:space="preserve">Footprint field had no library nickname (it would fail to resolve)</t>
  </si>
  <si>
    <t xml:space="preserve">Fixed to aerolotl_custom:ANT_GP.1575.18.4.A.02_TAL</t>
  </si>
  <si>
    <t xml:space="preserve">Test points</t>
  </si>
  <si>
    <t xml:space="preserve">TP1-TP10 excluded from BOM</t>
  </si>
  <si>
    <t xml:space="preserve">Plated holes with no part to buy</t>
  </si>
  <si>
    <t xml:space="preserve">All parts</t>
  </si>
  <si>
    <t xml:space="preserve">LCSC Part, MPN, Manufacturer, Voltage, Dielectric, Tolerance, ESR/DCR and Power fields filled on every symbol (and mirrored into the PCB). The duplicate "LCSC" field was merged into "LCSC Part".</t>
  </si>
  <si>
    <t xml:space="preserve">LCSC/JLC part data checked 2026-10-02</t>
  </si>
  <si>
    <t xml:space="preserve">D9</t>
  </si>
  <si>
    <t xml:space="preserve">Removed an orphan duplicate D9 footprint (no schematic link). The linked D9 now sits in its place.</t>
  </si>
  <si>
    <t xml:space="preserve">PCB vs schematic sync</t>
  </si>
  <si>
    <t xml:space="preserve">#</t>
  </si>
  <si>
    <t xml:space="preserve">Suggested action</t>
  </si>
  <si>
    <t xml:space="preserve">Open KiCad and run Tools &gt; Update PCB from Schematic (F8), then ERC and DRC. I could not run KiCad from here. My own netlist check matches every pad net to the schematic.</t>
  </si>
  <si>
    <t xml:space="preserve">Expect only field/value updates. Re-pour zones. The inner-layer +12V/+3V3 split on In2 was drawn for the old layout, so redraw it.</t>
  </si>
  <si>
    <t xml:space="preserve">RGB LED D2: the green/blue Vf (about 2.8-3.2V) is too close to the 3.3V anode, so G/B will be very dim or off with 330R.</t>
  </si>
  <si>
    <t xml:space="preserve">Run the anode from +5V/USB or a higher rail, or drop G/B to about 47-68R. Check the RS-3535MWAR datasheet Vf.</t>
  </si>
  <si>
    <t xml:space="preserve">BZ1 HNB09A03 is an active buzzer (it has its own oscillator). The MCU net is BUZZER_PWM on TIM1_CH1.</t>
  </si>
  <si>
    <t xml:space="preserve">Drive it as on/off. If you want tone control, swap to a passive/magnetic transducer and add a flyback diode.</t>
  </si>
  <si>
    <t xml:space="preserve">JST PH (J3) is rated 2A per contact. The igniter pulses come from +BATT through this connector.</t>
  </si>
  <si>
    <t xml:space="preserve">Fine for e-matches with the 330uF reservoirs. Use JST XH/XT30 if you add higher-current loads.</t>
  </si>
  <si>
    <t xml:space="preserve">U1 STM32G474VET6 stock is very low (9 at LCSC, 39 at JLC). ADXL375 has 74 at JLC.</t>
  </si>
  <si>
    <t xml:space="preserve">Pre-order/reserve on JLC before submitting.</t>
  </si>
  <si>
    <t xml:space="preserve">AE1 Taoglas GP.1575.18.4.A.02 has 0 stock at LCSC/JLC.</t>
  </si>
  <si>
    <t xml:space="preserve">Buy from Digikey/Mouser, or pick an in-stock 18x18 patch with the same feed position.</t>
  </si>
  <si>
    <t xml:space="preserve">Placement was re-done around the new outline and keepouts with a scripted legalizer, so it is overlap-free but not optimized.</t>
  </si>
  <si>
    <t xml:space="preserve">Review the bottom half (igniter channels) and the GPS/Airlift antenna clearances before routing.</t>
  </si>
  <si>
    <t xml:space="preserve">Standard-library footprints I added (PinHeader_1x07, JST_PH_B2B, CP_EIA tantalum, TSOT-23-6) were generated from an older copy of the KiCad library.</t>
  </si>
  <si>
    <t xml:space="preserve">In KiCad: Tools &gt; Update Footprints from Library on those refs to pull the current KiCad 10 versions.</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</si>
</sst>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16"/>
    <col collapsed="false" customWidth="true" hidden="false" outlineLevel="0" max="4" min="4" style="0" width="30"/>
    <col collapsed="false" customWidth="true" hidden="false" outlineLevel="0" max="5" min="5" style="0" width="11"/>
    <col collapsed="false" customWidth="true" hidden="false" outlineLevel="0" max="6" min="6" style="0" width="26"/>
    <col collapsed="false" customWidth="true" hidden="false" outlineLevel="0" max="7" min="7" style="0" width="22"/>
    <col collapsed="false" customWidth="true" hidden="false" outlineLevel="0" max="8" min="8" style="0" width="9"/>
    <col collapsed="false" customWidth="true" hidden="false" outlineLevel="0" max="9" min="9" style="0" width="16"/>
    <col collapsed="false" customWidth="true" hidden="false" outlineLevel="0" max="10" min="10" style="0" width="10"/>
    <col collapsed="false" customWidth="true" hidden="false" outlineLevel="0" max="11" min="11" style="0" width="18"/>
    <col collapsed="false" customWidth="true" hidden="false" outlineLevel="0" max="12" min="12" style="0" width="9"/>
    <col collapsed="false" customWidth="true" hidden="false" outlineLevel="0" max="13" min="13" style="0" width="14"/>
    <col collapsed="false" customWidth="true" hidden="false" outlineLevel="0" max="14" min="14" style="0" width="12"/>
    <col collapsed="false" customWidth="true" hidden="false" outlineLevel="0" max="15" min="15" style="0" width="22"/>
    <col collapsed="false" customWidth="true" hidden="false" outlineLevel="0" max="16" min="16" style="0" width="9"/>
    <col collapsed="false" customWidth="true" hidden="false" outlineLevel="0" max="17" min="17" style="0" width="11"/>
    <col collapsed="false" customWidth="true" hidden="false" outlineLevel="0" max="18" min="18" style="0" width="70"/>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23.85" hidden="false" customHeight="false" outlineLevel="0" collapsed="false">
      <c r="A2" s="2" t="s">
        <v>18</v>
      </c>
      <c r="B2" s="2" t="n">
        <f aca="false">LEN(A2)-LEN(SUBSTITUTE(A2,",",""))+1</f>
        <v>1</v>
      </c>
      <c r="C2" s="2" t="s">
        <v>19</v>
      </c>
      <c r="D2" s="2" t="s">
        <v>20</v>
      </c>
      <c r="E2" s="2" t="s">
        <v>21</v>
      </c>
      <c r="F2" s="2" t="s">
        <v>19</v>
      </c>
      <c r="G2" s="2" t="s">
        <v>22</v>
      </c>
      <c r="H2" s="2"/>
      <c r="I2" s="2"/>
      <c r="J2" s="2"/>
      <c r="K2" s="2"/>
      <c r="L2" s="2"/>
      <c r="M2" s="2" t="s">
        <v>23</v>
      </c>
      <c r="N2" s="3" t="n">
        <v>0</v>
      </c>
      <c r="O2" s="2" t="s">
        <v>24</v>
      </c>
      <c r="P2" s="2" t="s">
        <v>25</v>
      </c>
      <c r="Q2" s="2" t="s">
        <v>26</v>
      </c>
      <c r="R2" s="2" t="s">
        <v>27</v>
      </c>
    </row>
    <row r="3" customFormat="false" ht="15" hidden="false" customHeight="false" outlineLevel="0" collapsed="false">
      <c r="A3" s="2" t="s">
        <v>28</v>
      </c>
      <c r="B3" s="2" t="n">
        <f aca="false">LEN(A3)-LEN(SUBSTITUTE(A3,",",""))+1</f>
        <v>1</v>
      </c>
      <c r="C3" s="2" t="s">
        <v>29</v>
      </c>
      <c r="D3" s="2" t="s">
        <v>30</v>
      </c>
      <c r="E3" s="2" t="s">
        <v>31</v>
      </c>
      <c r="F3" s="2" t="s">
        <v>29</v>
      </c>
      <c r="G3" s="2" t="s">
        <v>32</v>
      </c>
      <c r="H3" s="2"/>
      <c r="I3" s="2"/>
      <c r="J3" s="2"/>
      <c r="K3" s="2"/>
      <c r="L3" s="2"/>
      <c r="M3" s="2" t="s">
        <v>23</v>
      </c>
      <c r="N3" s="3" t="n">
        <v>44983</v>
      </c>
      <c r="O3" s="2" t="s">
        <v>33</v>
      </c>
      <c r="P3" s="2" t="s">
        <v>25</v>
      </c>
      <c r="Q3" s="2" t="s">
        <v>34</v>
      </c>
      <c r="R3" s="2" t="s">
        <v>35</v>
      </c>
    </row>
    <row r="4" customFormat="false" ht="15" hidden="false" customHeight="false" outlineLevel="0" collapsed="false">
      <c r="A4" s="2" t="s">
        <v>36</v>
      </c>
      <c r="B4" s="2" t="n">
        <f aca="false">LEN(A4)-LEN(SUBSTITUTE(A4,",",""))+1</f>
        <v>3</v>
      </c>
      <c r="C4" s="2" t="s">
        <v>37</v>
      </c>
      <c r="D4" s="2" t="s">
        <v>38</v>
      </c>
      <c r="E4" s="2" t="s">
        <v>39</v>
      </c>
      <c r="F4" s="2" t="s">
        <v>40</v>
      </c>
      <c r="G4" s="2" t="s">
        <v>41</v>
      </c>
      <c r="H4" s="2" t="s">
        <v>42</v>
      </c>
      <c r="I4" s="2" t="s">
        <v>43</v>
      </c>
      <c r="J4" s="2" t="s">
        <v>44</v>
      </c>
      <c r="K4" s="2"/>
      <c r="L4" s="2"/>
      <c r="M4" s="2" t="s">
        <v>45</v>
      </c>
      <c r="N4" s="3" t="n">
        <v>58141193</v>
      </c>
      <c r="O4" s="2" t="s">
        <v>46</v>
      </c>
      <c r="P4" s="2" t="s">
        <v>25</v>
      </c>
      <c r="Q4" s="2" t="s">
        <v>47</v>
      </c>
      <c r="R4" s="2" t="s">
        <v>48</v>
      </c>
    </row>
    <row r="5" customFormat="false" ht="23.85" hidden="false" customHeight="false" outlineLevel="0" collapsed="false">
      <c r="A5" s="2" t="s">
        <v>49</v>
      </c>
      <c r="B5" s="2" t="n">
        <f aca="false">LEN(A5)-LEN(SUBSTITUTE(A5,",",""))+1</f>
        <v>1</v>
      </c>
      <c r="C5" s="2" t="s">
        <v>50</v>
      </c>
      <c r="D5" s="2" t="s">
        <v>51</v>
      </c>
      <c r="E5" s="2" t="s">
        <v>52</v>
      </c>
      <c r="F5" s="2" t="s">
        <v>53</v>
      </c>
      <c r="G5" s="2" t="s">
        <v>54</v>
      </c>
      <c r="H5" s="2" t="s">
        <v>55</v>
      </c>
      <c r="I5" s="2" t="s">
        <v>43</v>
      </c>
      <c r="J5" s="2" t="s">
        <v>44</v>
      </c>
      <c r="K5" s="2"/>
      <c r="L5" s="2"/>
      <c r="M5" s="2" t="s">
        <v>23</v>
      </c>
      <c r="N5" s="3" t="n">
        <v>311410</v>
      </c>
      <c r="O5" s="2" t="s">
        <v>46</v>
      </c>
      <c r="P5" s="2" t="s">
        <v>25</v>
      </c>
      <c r="Q5" s="2" t="s">
        <v>47</v>
      </c>
      <c r="R5" s="2" t="s">
        <v>56</v>
      </c>
    </row>
    <row r="6" customFormat="false" ht="35.05" hidden="false" customHeight="false" outlineLevel="0" collapsed="false">
      <c r="A6" s="2" t="s">
        <v>57</v>
      </c>
      <c r="B6" s="2" t="n">
        <f aca="false">LEN(A6)-LEN(SUBSTITUTE(A6,",",""))+1</f>
        <v>17</v>
      </c>
      <c r="C6" s="2" t="s">
        <v>37</v>
      </c>
      <c r="D6" s="2" t="s">
        <v>58</v>
      </c>
      <c r="E6" s="2" t="s">
        <v>59</v>
      </c>
      <c r="F6" s="2" t="s">
        <v>60</v>
      </c>
      <c r="G6" s="2" t="s">
        <v>54</v>
      </c>
      <c r="H6" s="2" t="s">
        <v>61</v>
      </c>
      <c r="I6" s="2" t="s">
        <v>43</v>
      </c>
      <c r="J6" s="2" t="s">
        <v>44</v>
      </c>
      <c r="K6" s="2"/>
      <c r="L6" s="2"/>
      <c r="M6" s="2" t="s">
        <v>45</v>
      </c>
      <c r="N6" s="3" t="n">
        <v>21581667</v>
      </c>
      <c r="O6" s="2" t="s">
        <v>46</v>
      </c>
      <c r="P6" s="2" t="s">
        <v>25</v>
      </c>
      <c r="Q6" s="2" t="s">
        <v>47</v>
      </c>
      <c r="R6" s="2" t="s">
        <v>62</v>
      </c>
    </row>
    <row r="7" customFormat="false" ht="23.85" hidden="false" customHeight="false" outlineLevel="0" collapsed="false">
      <c r="A7" s="2" t="s">
        <v>63</v>
      </c>
      <c r="B7" s="2" t="n">
        <f aca="false">LEN(A7)-LEN(SUBSTITUTE(A7,",",""))+1</f>
        <v>1</v>
      </c>
      <c r="C7" s="2" t="s">
        <v>64</v>
      </c>
      <c r="D7" s="2" t="s">
        <v>58</v>
      </c>
      <c r="E7" s="2" t="s">
        <v>65</v>
      </c>
      <c r="F7" s="2" t="s">
        <v>66</v>
      </c>
      <c r="G7" s="2" t="s">
        <v>54</v>
      </c>
      <c r="H7" s="2" t="s">
        <v>42</v>
      </c>
      <c r="I7" s="2" t="s">
        <v>43</v>
      </c>
      <c r="J7" s="2" t="s">
        <v>44</v>
      </c>
      <c r="K7" s="2"/>
      <c r="L7" s="2"/>
      <c r="M7" s="2" t="s">
        <v>45</v>
      </c>
      <c r="N7" s="3" t="n">
        <v>4033054</v>
      </c>
      <c r="O7" s="2" t="s">
        <v>46</v>
      </c>
      <c r="P7" s="2" t="s">
        <v>25</v>
      </c>
      <c r="Q7" s="2" t="s">
        <v>47</v>
      </c>
      <c r="R7" s="2" t="s">
        <v>67</v>
      </c>
    </row>
    <row r="8" customFormat="false" ht="23.85" hidden="false" customHeight="false" outlineLevel="0" collapsed="false">
      <c r="A8" s="2" t="s">
        <v>68</v>
      </c>
      <c r="B8" s="2" t="n">
        <f aca="false">LEN(A8)-LEN(SUBSTITUTE(A8,",",""))+1</f>
        <v>3</v>
      </c>
      <c r="C8" s="2" t="s">
        <v>69</v>
      </c>
      <c r="D8" s="2" t="s">
        <v>38</v>
      </c>
      <c r="E8" s="2" t="s">
        <v>70</v>
      </c>
      <c r="F8" s="2" t="s">
        <v>71</v>
      </c>
      <c r="G8" s="2" t="s">
        <v>54</v>
      </c>
      <c r="H8" s="2" t="s">
        <v>55</v>
      </c>
      <c r="I8" s="2" t="s">
        <v>43</v>
      </c>
      <c r="J8" s="2" t="s">
        <v>44</v>
      </c>
      <c r="K8" s="2"/>
      <c r="L8" s="2"/>
      <c r="M8" s="2" t="s">
        <v>23</v>
      </c>
      <c r="N8" s="3" t="n">
        <v>266599</v>
      </c>
      <c r="O8" s="2" t="s">
        <v>46</v>
      </c>
      <c r="P8" s="2" t="s">
        <v>25</v>
      </c>
      <c r="Q8" s="2" t="s">
        <v>47</v>
      </c>
      <c r="R8" s="2" t="s">
        <v>72</v>
      </c>
    </row>
    <row r="9" customFormat="false" ht="15" hidden="false" customHeight="false" outlineLevel="0" collapsed="false">
      <c r="A9" s="2" t="s">
        <v>73</v>
      </c>
      <c r="B9" s="2" t="n">
        <f aca="false">LEN(A9)-LEN(SUBSTITUTE(A9,",",""))+1</f>
        <v>2</v>
      </c>
      <c r="C9" s="2" t="s">
        <v>74</v>
      </c>
      <c r="D9" s="2" t="s">
        <v>58</v>
      </c>
      <c r="E9" s="2" t="s">
        <v>75</v>
      </c>
      <c r="F9" s="2" t="s">
        <v>76</v>
      </c>
      <c r="G9" s="2" t="s">
        <v>77</v>
      </c>
      <c r="H9" s="2" t="s">
        <v>42</v>
      </c>
      <c r="I9" s="2" t="s">
        <v>78</v>
      </c>
      <c r="J9" s="2" t="s">
        <v>79</v>
      </c>
      <c r="K9" s="2"/>
      <c r="L9" s="2"/>
      <c r="M9" s="2" t="s">
        <v>45</v>
      </c>
      <c r="N9" s="3" t="n">
        <v>1431860</v>
      </c>
      <c r="O9" s="2" t="s">
        <v>46</v>
      </c>
      <c r="P9" s="2" t="s">
        <v>25</v>
      </c>
      <c r="Q9" s="2" t="s">
        <v>47</v>
      </c>
      <c r="R9" s="2" t="s">
        <v>80</v>
      </c>
    </row>
    <row r="10" customFormat="false" ht="23.85" hidden="false" customHeight="false" outlineLevel="0" collapsed="false">
      <c r="A10" s="2" t="s">
        <v>81</v>
      </c>
      <c r="B10" s="2" t="n">
        <f aca="false">LEN(A10)-LEN(SUBSTITUTE(A10,",",""))+1</f>
        <v>2</v>
      </c>
      <c r="C10" s="2" t="s">
        <v>82</v>
      </c>
      <c r="D10" s="2" t="s">
        <v>58</v>
      </c>
      <c r="E10" s="2" t="s">
        <v>83</v>
      </c>
      <c r="F10" s="2" t="s">
        <v>84</v>
      </c>
      <c r="G10" s="2" t="s">
        <v>77</v>
      </c>
      <c r="H10" s="2" t="s">
        <v>42</v>
      </c>
      <c r="I10" s="2" t="s">
        <v>78</v>
      </c>
      <c r="J10" s="2" t="s">
        <v>85</v>
      </c>
      <c r="K10" s="2"/>
      <c r="L10" s="2"/>
      <c r="M10" s="2" t="s">
        <v>86</v>
      </c>
      <c r="N10" s="3" t="n">
        <v>597482</v>
      </c>
      <c r="O10" s="2" t="s">
        <v>46</v>
      </c>
      <c r="P10" s="2" t="s">
        <v>25</v>
      </c>
      <c r="Q10" s="2" t="s">
        <v>47</v>
      </c>
      <c r="R10" s="2" t="s">
        <v>87</v>
      </c>
    </row>
    <row r="11" customFormat="false" ht="23.85" hidden="false" customHeight="false" outlineLevel="0" collapsed="false">
      <c r="A11" s="2" t="s">
        <v>88</v>
      </c>
      <c r="B11" s="2" t="n">
        <f aca="false">LEN(A11)-LEN(SUBSTITUTE(A11,",",""))+1</f>
        <v>1</v>
      </c>
      <c r="C11" s="2" t="s">
        <v>89</v>
      </c>
      <c r="D11" s="2" t="s">
        <v>51</v>
      </c>
      <c r="E11" s="2" t="s">
        <v>90</v>
      </c>
      <c r="F11" s="2" t="s">
        <v>91</v>
      </c>
      <c r="G11" s="2" t="s">
        <v>54</v>
      </c>
      <c r="H11" s="2" t="s">
        <v>55</v>
      </c>
      <c r="I11" s="2" t="s">
        <v>92</v>
      </c>
      <c r="J11" s="2" t="s">
        <v>44</v>
      </c>
      <c r="K11" s="2"/>
      <c r="L11" s="2"/>
      <c r="M11" s="2" t="s">
        <v>45</v>
      </c>
      <c r="N11" s="3" t="n">
        <v>4951626</v>
      </c>
      <c r="O11" s="2" t="s">
        <v>46</v>
      </c>
      <c r="P11" s="2" t="s">
        <v>25</v>
      </c>
      <c r="Q11" s="2" t="s">
        <v>93</v>
      </c>
      <c r="R11" s="2" t="s">
        <v>94</v>
      </c>
    </row>
    <row r="12" customFormat="false" ht="23.85" hidden="false" customHeight="false" outlineLevel="0" collapsed="false">
      <c r="A12" s="2" t="s">
        <v>95</v>
      </c>
      <c r="B12" s="2" t="n">
        <f aca="false">LEN(A12)-LEN(SUBSTITUTE(A12,",",""))+1</f>
        <v>1</v>
      </c>
      <c r="C12" s="2" t="s">
        <v>96</v>
      </c>
      <c r="D12" s="2" t="s">
        <v>97</v>
      </c>
      <c r="E12" s="2" t="s">
        <v>98</v>
      </c>
      <c r="F12" s="2" t="s">
        <v>99</v>
      </c>
      <c r="G12" s="2" t="s">
        <v>100</v>
      </c>
      <c r="H12" s="2" t="s">
        <v>61</v>
      </c>
      <c r="I12" s="2" t="s">
        <v>101</v>
      </c>
      <c r="J12" s="2" t="s">
        <v>44</v>
      </c>
      <c r="K12" s="2" t="s">
        <v>102</v>
      </c>
      <c r="L12" s="2"/>
      <c r="M12" s="2" t="s">
        <v>23</v>
      </c>
      <c r="N12" s="3" t="n">
        <v>81310</v>
      </c>
      <c r="O12" s="2" t="s">
        <v>46</v>
      </c>
      <c r="P12" s="2" t="s">
        <v>25</v>
      </c>
      <c r="Q12" s="2" t="s">
        <v>93</v>
      </c>
      <c r="R12" s="2" t="s">
        <v>103</v>
      </c>
    </row>
    <row r="13" customFormat="false" ht="23.85" hidden="false" customHeight="false" outlineLevel="0" collapsed="false">
      <c r="A13" s="2" t="s">
        <v>104</v>
      </c>
      <c r="B13" s="2" t="n">
        <f aca="false">LEN(A13)-LEN(SUBSTITUTE(A13,",",""))+1</f>
        <v>1</v>
      </c>
      <c r="C13" s="2" t="s">
        <v>89</v>
      </c>
      <c r="D13" s="2" t="s">
        <v>105</v>
      </c>
      <c r="E13" s="2" t="s">
        <v>106</v>
      </c>
      <c r="F13" s="2" t="s">
        <v>107</v>
      </c>
      <c r="G13" s="2" t="s">
        <v>54</v>
      </c>
      <c r="H13" s="2" t="s">
        <v>42</v>
      </c>
      <c r="I13" s="2" t="s">
        <v>43</v>
      </c>
      <c r="J13" s="2" t="s">
        <v>44</v>
      </c>
      <c r="K13" s="2"/>
      <c r="L13" s="2"/>
      <c r="M13" s="2" t="s">
        <v>23</v>
      </c>
      <c r="N13" s="3" t="n">
        <v>109372</v>
      </c>
      <c r="O13" s="2" t="s">
        <v>46</v>
      </c>
      <c r="P13" s="2" t="s">
        <v>25</v>
      </c>
      <c r="Q13" s="2" t="s">
        <v>93</v>
      </c>
      <c r="R13" s="2" t="s">
        <v>108</v>
      </c>
    </row>
    <row r="14" customFormat="false" ht="35.05" hidden="false" customHeight="false" outlineLevel="0" collapsed="false">
      <c r="A14" s="2" t="s">
        <v>109</v>
      </c>
      <c r="B14" s="2" t="n">
        <f aca="false">LEN(A14)-LEN(SUBSTITUTE(A14,",",""))+1</f>
        <v>2</v>
      </c>
      <c r="C14" s="2" t="s">
        <v>110</v>
      </c>
      <c r="D14" s="2" t="s">
        <v>105</v>
      </c>
      <c r="E14" s="2" t="s">
        <v>111</v>
      </c>
      <c r="F14" s="2" t="s">
        <v>112</v>
      </c>
      <c r="G14" s="2" t="s">
        <v>54</v>
      </c>
      <c r="H14" s="2" t="s">
        <v>113</v>
      </c>
      <c r="I14" s="2" t="s">
        <v>92</v>
      </c>
      <c r="J14" s="2" t="s">
        <v>114</v>
      </c>
      <c r="K14" s="2"/>
      <c r="L14" s="2"/>
      <c r="M14" s="2" t="s">
        <v>45</v>
      </c>
      <c r="N14" s="3" t="n">
        <v>1940643</v>
      </c>
      <c r="O14" s="2" t="s">
        <v>46</v>
      </c>
      <c r="P14" s="2" t="s">
        <v>25</v>
      </c>
      <c r="Q14" s="2" t="s">
        <v>93</v>
      </c>
      <c r="R14" s="2" t="s">
        <v>115</v>
      </c>
    </row>
    <row r="15" customFormat="false" ht="23.85" hidden="false" customHeight="false" outlineLevel="0" collapsed="false">
      <c r="A15" s="2" t="s">
        <v>116</v>
      </c>
      <c r="B15" s="2" t="n">
        <f aca="false">LEN(A15)-LEN(SUBSTITUTE(A15,",",""))+1</f>
        <v>2</v>
      </c>
      <c r="C15" s="2" t="s">
        <v>69</v>
      </c>
      <c r="D15" s="2" t="s">
        <v>58</v>
      </c>
      <c r="E15" s="2" t="s">
        <v>117</v>
      </c>
      <c r="F15" s="2" t="s">
        <v>118</v>
      </c>
      <c r="G15" s="2" t="s">
        <v>54</v>
      </c>
      <c r="H15" s="2" t="s">
        <v>55</v>
      </c>
      <c r="I15" s="2" t="s">
        <v>92</v>
      </c>
      <c r="J15" s="2" t="s">
        <v>44</v>
      </c>
      <c r="K15" s="2"/>
      <c r="L15" s="2"/>
      <c r="M15" s="2" t="s">
        <v>45</v>
      </c>
      <c r="N15" s="3" t="n">
        <v>5613299</v>
      </c>
      <c r="O15" s="2" t="s">
        <v>46</v>
      </c>
      <c r="P15" s="2" t="s">
        <v>25</v>
      </c>
      <c r="Q15" s="2" t="s">
        <v>93</v>
      </c>
      <c r="R15" s="2"/>
    </row>
    <row r="16" customFormat="false" ht="15" hidden="false" customHeight="false" outlineLevel="0" collapsed="false">
      <c r="A16" s="2" t="s">
        <v>119</v>
      </c>
      <c r="B16" s="2" t="n">
        <f aca="false">LEN(A16)-LEN(SUBSTITUTE(A16,",",""))+1</f>
        <v>2</v>
      </c>
      <c r="C16" s="2" t="s">
        <v>69</v>
      </c>
      <c r="D16" s="2" t="s">
        <v>120</v>
      </c>
      <c r="E16" s="2" t="s">
        <v>121</v>
      </c>
      <c r="F16" s="2" t="s">
        <v>122</v>
      </c>
      <c r="G16" s="2" t="s">
        <v>100</v>
      </c>
      <c r="H16" s="2" t="s">
        <v>123</v>
      </c>
      <c r="I16" s="2" t="s">
        <v>101</v>
      </c>
      <c r="J16" s="2" t="s">
        <v>44</v>
      </c>
      <c r="K16" s="2" t="s">
        <v>124</v>
      </c>
      <c r="L16" s="2"/>
      <c r="M16" s="2" t="s">
        <v>23</v>
      </c>
      <c r="N16" s="3" t="n">
        <v>2570</v>
      </c>
      <c r="O16" s="2" t="s">
        <v>46</v>
      </c>
      <c r="P16" s="2" t="s">
        <v>25</v>
      </c>
      <c r="Q16" s="2" t="s">
        <v>26</v>
      </c>
      <c r="R16" s="2" t="s">
        <v>125</v>
      </c>
    </row>
    <row r="17" customFormat="false" ht="23.85" hidden="false" customHeight="false" outlineLevel="0" collapsed="false">
      <c r="A17" s="2" t="s">
        <v>126</v>
      </c>
      <c r="B17" s="2" t="n">
        <f aca="false">LEN(A17)-LEN(SUBSTITUTE(A17,",",""))+1</f>
        <v>1</v>
      </c>
      <c r="C17" s="2" t="s">
        <v>89</v>
      </c>
      <c r="D17" s="2" t="s">
        <v>38</v>
      </c>
      <c r="E17" s="2" t="s">
        <v>127</v>
      </c>
      <c r="F17" s="2" t="s">
        <v>128</v>
      </c>
      <c r="G17" s="2" t="s">
        <v>54</v>
      </c>
      <c r="H17" s="2" t="s">
        <v>123</v>
      </c>
      <c r="I17" s="2" t="s">
        <v>92</v>
      </c>
      <c r="J17" s="2" t="s">
        <v>44</v>
      </c>
      <c r="K17" s="2"/>
      <c r="L17" s="2"/>
      <c r="M17" s="2" t="s">
        <v>45</v>
      </c>
      <c r="N17" s="3" t="n">
        <v>10315650</v>
      </c>
      <c r="O17" s="2" t="s">
        <v>46</v>
      </c>
      <c r="P17" s="2" t="s">
        <v>25</v>
      </c>
      <c r="Q17" s="2" t="s">
        <v>26</v>
      </c>
      <c r="R17" s="2"/>
    </row>
    <row r="18" customFormat="false" ht="23.85" hidden="false" customHeight="false" outlineLevel="0" collapsed="false">
      <c r="A18" s="2" t="s">
        <v>129</v>
      </c>
      <c r="B18" s="2" t="n">
        <f aca="false">LEN(A18)-LEN(SUBSTITUTE(A18,",",""))+1</f>
        <v>1</v>
      </c>
      <c r="C18" s="2" t="s">
        <v>96</v>
      </c>
      <c r="D18" s="2" t="s">
        <v>51</v>
      </c>
      <c r="E18" s="2" t="s">
        <v>130</v>
      </c>
      <c r="F18" s="2" t="s">
        <v>131</v>
      </c>
      <c r="G18" s="2" t="s">
        <v>54</v>
      </c>
      <c r="H18" s="2" t="s">
        <v>55</v>
      </c>
      <c r="I18" s="2" t="s">
        <v>92</v>
      </c>
      <c r="J18" s="2" t="s">
        <v>114</v>
      </c>
      <c r="K18" s="2"/>
      <c r="L18" s="2"/>
      <c r="M18" s="2" t="s">
        <v>45</v>
      </c>
      <c r="N18" s="3" t="n">
        <v>3990887</v>
      </c>
      <c r="O18" s="2" t="s">
        <v>46</v>
      </c>
      <c r="P18" s="2" t="s">
        <v>25</v>
      </c>
      <c r="Q18" s="2" t="s">
        <v>34</v>
      </c>
      <c r="R18" s="2"/>
    </row>
    <row r="19" customFormat="false" ht="15" hidden="false" customHeight="false" outlineLevel="0" collapsed="false">
      <c r="A19" s="2" t="s">
        <v>132</v>
      </c>
      <c r="B19" s="2" t="n">
        <f aca="false">LEN(A19)-LEN(SUBSTITUTE(A19,",",""))+1</f>
        <v>2</v>
      </c>
      <c r="C19" s="2" t="s">
        <v>133</v>
      </c>
      <c r="D19" s="2" t="s">
        <v>38</v>
      </c>
      <c r="E19" s="2" t="s">
        <v>134</v>
      </c>
      <c r="F19" s="2" t="s">
        <v>135</v>
      </c>
      <c r="G19" s="2" t="s">
        <v>41</v>
      </c>
      <c r="H19" s="2" t="s">
        <v>42</v>
      </c>
      <c r="I19" s="2" t="s">
        <v>43</v>
      </c>
      <c r="J19" s="2" t="s">
        <v>44</v>
      </c>
      <c r="K19" s="2"/>
      <c r="L19" s="2"/>
      <c r="M19" s="2" t="s">
        <v>23</v>
      </c>
      <c r="N19" s="3" t="n">
        <v>607110</v>
      </c>
      <c r="O19" s="2" t="s">
        <v>46</v>
      </c>
      <c r="P19" s="2" t="s">
        <v>25</v>
      </c>
      <c r="Q19" s="2" t="s">
        <v>136</v>
      </c>
      <c r="R19" s="2" t="s">
        <v>137</v>
      </c>
    </row>
    <row r="20" customFormat="false" ht="35.05" hidden="false" customHeight="false" outlineLevel="0" collapsed="false">
      <c r="A20" s="2" t="s">
        <v>138</v>
      </c>
      <c r="B20" s="2" t="n">
        <f aca="false">LEN(A20)-LEN(SUBSTITUTE(A20,",",""))+1</f>
        <v>2</v>
      </c>
      <c r="C20" s="2" t="s">
        <v>139</v>
      </c>
      <c r="D20" s="2" t="s">
        <v>140</v>
      </c>
      <c r="E20" s="2" t="s">
        <v>141</v>
      </c>
      <c r="F20" s="2" t="s">
        <v>142</v>
      </c>
      <c r="G20" s="2" t="s">
        <v>143</v>
      </c>
      <c r="H20" s="2" t="s">
        <v>55</v>
      </c>
      <c r="I20" s="2" t="s">
        <v>144</v>
      </c>
      <c r="J20" s="2" t="s">
        <v>114</v>
      </c>
      <c r="K20" s="2" t="s">
        <v>145</v>
      </c>
      <c r="L20" s="2"/>
      <c r="M20" s="2" t="s">
        <v>23</v>
      </c>
      <c r="N20" s="3" t="n">
        <v>1527</v>
      </c>
      <c r="O20" s="2" t="s">
        <v>46</v>
      </c>
      <c r="P20" s="2" t="s">
        <v>25</v>
      </c>
      <c r="Q20" s="2" t="s">
        <v>136</v>
      </c>
      <c r="R20" s="2" t="s">
        <v>146</v>
      </c>
    </row>
    <row r="21" customFormat="false" ht="15" hidden="false" customHeight="false" outlineLevel="0" collapsed="false">
      <c r="A21" s="2" t="s">
        <v>147</v>
      </c>
      <c r="B21" s="2" t="n">
        <f aca="false">LEN(A21)-LEN(SUBSTITUTE(A21,",",""))+1</f>
        <v>1</v>
      </c>
      <c r="C21" s="2" t="s">
        <v>148</v>
      </c>
      <c r="D21" s="2" t="s">
        <v>149</v>
      </c>
      <c r="E21" s="2" t="s">
        <v>150</v>
      </c>
      <c r="F21" s="2" t="s">
        <v>148</v>
      </c>
      <c r="G21" s="2" t="s">
        <v>151</v>
      </c>
      <c r="H21" s="2"/>
      <c r="I21" s="2"/>
      <c r="J21" s="2"/>
      <c r="K21" s="2"/>
      <c r="L21" s="2"/>
      <c r="M21" s="2" t="s">
        <v>23</v>
      </c>
      <c r="N21" s="3" t="n">
        <v>11134</v>
      </c>
      <c r="O21" s="2" t="s">
        <v>46</v>
      </c>
      <c r="P21" s="2" t="s">
        <v>25</v>
      </c>
      <c r="Q21" s="2" t="s">
        <v>93</v>
      </c>
      <c r="R21" s="2"/>
    </row>
    <row r="22" customFormat="false" ht="23.85" hidden="false" customHeight="false" outlineLevel="0" collapsed="false">
      <c r="A22" s="2" t="s">
        <v>152</v>
      </c>
      <c r="B22" s="2" t="n">
        <f aca="false">LEN(A22)-LEN(SUBSTITUTE(A22,",",""))+1</f>
        <v>1</v>
      </c>
      <c r="C22" s="2" t="s">
        <v>153</v>
      </c>
      <c r="D22" s="2" t="s">
        <v>154</v>
      </c>
      <c r="E22" s="2" t="s">
        <v>155</v>
      </c>
      <c r="F22" s="2" t="s">
        <v>156</v>
      </c>
      <c r="G22" s="2" t="s">
        <v>157</v>
      </c>
      <c r="H22" s="2"/>
      <c r="I22" s="2"/>
      <c r="J22" s="2"/>
      <c r="K22" s="2"/>
      <c r="L22" s="2"/>
      <c r="M22" s="2" t="s">
        <v>23</v>
      </c>
      <c r="N22" s="3" t="n">
        <v>460049</v>
      </c>
      <c r="O22" s="2" t="s">
        <v>46</v>
      </c>
      <c r="P22" s="2" t="s">
        <v>25</v>
      </c>
      <c r="Q22" s="2" t="s">
        <v>34</v>
      </c>
      <c r="R22" s="2" t="s">
        <v>158</v>
      </c>
    </row>
    <row r="23" customFormat="false" ht="15" hidden="false" customHeight="false" outlineLevel="0" collapsed="false">
      <c r="A23" s="2" t="s">
        <v>159</v>
      </c>
      <c r="B23" s="2" t="n">
        <f aca="false">LEN(A23)-LEN(SUBSTITUTE(A23,",",""))+1</f>
        <v>1</v>
      </c>
      <c r="C23" s="2" t="s">
        <v>160</v>
      </c>
      <c r="D23" s="2" t="s">
        <v>161</v>
      </c>
      <c r="E23" s="2" t="s">
        <v>162</v>
      </c>
      <c r="F23" s="2" t="s">
        <v>163</v>
      </c>
      <c r="G23" s="2" t="s">
        <v>164</v>
      </c>
      <c r="H23" s="2"/>
      <c r="I23" s="2"/>
      <c r="J23" s="2"/>
      <c r="K23" s="2"/>
      <c r="L23" s="2"/>
      <c r="M23" s="2" t="s">
        <v>45</v>
      </c>
      <c r="N23" s="3" t="n">
        <v>389526</v>
      </c>
      <c r="O23" s="2" t="s">
        <v>46</v>
      </c>
      <c r="P23" s="2" t="s">
        <v>25</v>
      </c>
      <c r="Q23" s="2" t="s">
        <v>34</v>
      </c>
      <c r="R23" s="2"/>
    </row>
    <row r="24" customFormat="false" ht="15" hidden="false" customHeight="false" outlineLevel="0" collapsed="false">
      <c r="A24" s="2" t="s">
        <v>165</v>
      </c>
      <c r="B24" s="2" t="n">
        <f aca="false">LEN(A24)-LEN(SUBSTITUTE(A24,",",""))+1</f>
        <v>1</v>
      </c>
      <c r="C24" s="2" t="s">
        <v>166</v>
      </c>
      <c r="D24" s="2" t="s">
        <v>161</v>
      </c>
      <c r="E24" s="2" t="s">
        <v>162</v>
      </c>
      <c r="F24" s="2" t="s">
        <v>163</v>
      </c>
      <c r="G24" s="2" t="s">
        <v>164</v>
      </c>
      <c r="H24" s="2"/>
      <c r="I24" s="2"/>
      <c r="J24" s="2"/>
      <c r="K24" s="2"/>
      <c r="L24" s="2"/>
      <c r="M24" s="2" t="s">
        <v>45</v>
      </c>
      <c r="N24" s="3" t="n">
        <v>389526</v>
      </c>
      <c r="O24" s="2" t="s">
        <v>46</v>
      </c>
      <c r="P24" s="2" t="s">
        <v>25</v>
      </c>
      <c r="Q24" s="2" t="s">
        <v>34</v>
      </c>
      <c r="R24" s="2"/>
    </row>
    <row r="25" customFormat="false" ht="15" hidden="false" customHeight="false" outlineLevel="0" collapsed="false">
      <c r="A25" s="2" t="s">
        <v>167</v>
      </c>
      <c r="B25" s="2" t="n">
        <f aca="false">LEN(A25)-LEN(SUBSTITUTE(A25,",",""))+1</f>
        <v>1</v>
      </c>
      <c r="C25" s="2" t="s">
        <v>168</v>
      </c>
      <c r="D25" s="2" t="s">
        <v>161</v>
      </c>
      <c r="E25" s="2" t="s">
        <v>162</v>
      </c>
      <c r="F25" s="2" t="s">
        <v>163</v>
      </c>
      <c r="G25" s="2" t="s">
        <v>164</v>
      </c>
      <c r="H25" s="2"/>
      <c r="I25" s="2"/>
      <c r="J25" s="2"/>
      <c r="K25" s="2"/>
      <c r="L25" s="2"/>
      <c r="M25" s="2" t="s">
        <v>45</v>
      </c>
      <c r="N25" s="3" t="n">
        <v>389526</v>
      </c>
      <c r="O25" s="2" t="s">
        <v>46</v>
      </c>
      <c r="P25" s="2" t="s">
        <v>25</v>
      </c>
      <c r="Q25" s="2" t="s">
        <v>34</v>
      </c>
      <c r="R25" s="2"/>
    </row>
    <row r="26" customFormat="false" ht="15" hidden="false" customHeight="false" outlineLevel="0" collapsed="false">
      <c r="A26" s="2" t="s">
        <v>169</v>
      </c>
      <c r="B26" s="2" t="n">
        <f aca="false">LEN(A26)-LEN(SUBSTITUTE(A26,",",""))+1</f>
        <v>1</v>
      </c>
      <c r="C26" s="2" t="s">
        <v>170</v>
      </c>
      <c r="D26" s="2" t="s">
        <v>161</v>
      </c>
      <c r="E26" s="2" t="s">
        <v>162</v>
      </c>
      <c r="F26" s="2" t="s">
        <v>163</v>
      </c>
      <c r="G26" s="2" t="s">
        <v>164</v>
      </c>
      <c r="H26" s="2"/>
      <c r="I26" s="2"/>
      <c r="J26" s="2"/>
      <c r="K26" s="2"/>
      <c r="L26" s="2"/>
      <c r="M26" s="2" t="s">
        <v>45</v>
      </c>
      <c r="N26" s="3" t="n">
        <v>389526</v>
      </c>
      <c r="O26" s="2" t="s">
        <v>46</v>
      </c>
      <c r="P26" s="2" t="s">
        <v>25</v>
      </c>
      <c r="Q26" s="2" t="s">
        <v>34</v>
      </c>
      <c r="R26" s="2"/>
    </row>
    <row r="27" customFormat="false" ht="15" hidden="false" customHeight="false" outlineLevel="0" collapsed="false">
      <c r="A27" s="2" t="s">
        <v>171</v>
      </c>
      <c r="B27" s="2" t="n">
        <f aca="false">LEN(A27)-LEN(SUBSTITUTE(A27,",",""))+1</f>
        <v>2</v>
      </c>
      <c r="C27" s="2" t="s">
        <v>172</v>
      </c>
      <c r="D27" s="2" t="s">
        <v>173</v>
      </c>
      <c r="E27" s="2" t="s">
        <v>174</v>
      </c>
      <c r="F27" s="2" t="s">
        <v>175</v>
      </c>
      <c r="G27" s="2" t="s">
        <v>164</v>
      </c>
      <c r="H27" s="2"/>
      <c r="I27" s="2"/>
      <c r="J27" s="2"/>
      <c r="K27" s="2"/>
      <c r="L27" s="2"/>
      <c r="M27" s="2" t="s">
        <v>45</v>
      </c>
      <c r="N27" s="3" t="n">
        <v>4815898</v>
      </c>
      <c r="O27" s="2" t="s">
        <v>46</v>
      </c>
      <c r="P27" s="2" t="s">
        <v>25</v>
      </c>
      <c r="Q27" s="2" t="s">
        <v>136</v>
      </c>
      <c r="R27" s="2"/>
    </row>
    <row r="28" customFormat="false" ht="15" hidden="false" customHeight="false" outlineLevel="0" collapsed="false">
      <c r="A28" s="2" t="s">
        <v>176</v>
      </c>
      <c r="B28" s="2" t="n">
        <f aca="false">LEN(A28)-LEN(SUBSTITUTE(A28,",",""))+1</f>
        <v>2</v>
      </c>
      <c r="C28" s="2" t="s">
        <v>177</v>
      </c>
      <c r="D28" s="2" t="s">
        <v>178</v>
      </c>
      <c r="E28" s="2" t="s">
        <v>179</v>
      </c>
      <c r="F28" s="2" t="s">
        <v>177</v>
      </c>
      <c r="G28" s="2" t="s">
        <v>180</v>
      </c>
      <c r="H28" s="2"/>
      <c r="I28" s="2"/>
      <c r="J28" s="2"/>
      <c r="K28" s="2"/>
      <c r="L28" s="2"/>
      <c r="M28" s="2" t="s">
        <v>45</v>
      </c>
      <c r="N28" s="3" t="n">
        <v>5168664</v>
      </c>
      <c r="O28" s="2" t="s">
        <v>46</v>
      </c>
      <c r="P28" s="2" t="s">
        <v>25</v>
      </c>
      <c r="Q28" s="2" t="s">
        <v>136</v>
      </c>
      <c r="R28" s="2"/>
    </row>
    <row r="29" customFormat="false" ht="15" hidden="false" customHeight="false" outlineLevel="0" collapsed="false">
      <c r="A29" s="2" t="s">
        <v>181</v>
      </c>
      <c r="B29" s="2" t="n">
        <f aca="false">LEN(A29)-LEN(SUBSTITUTE(A29,",",""))+1</f>
        <v>2</v>
      </c>
      <c r="C29" s="2" t="s">
        <v>182</v>
      </c>
      <c r="D29" s="2" t="s">
        <v>183</v>
      </c>
      <c r="E29" s="2" t="s">
        <v>184</v>
      </c>
      <c r="F29" s="2" t="s">
        <v>182</v>
      </c>
      <c r="G29" s="2" t="s">
        <v>151</v>
      </c>
      <c r="H29" s="2"/>
      <c r="I29" s="2"/>
      <c r="J29" s="2"/>
      <c r="K29" s="2"/>
      <c r="L29" s="2"/>
      <c r="M29" s="2" t="s">
        <v>23</v>
      </c>
      <c r="N29" s="3" t="n">
        <v>14071</v>
      </c>
      <c r="O29" s="2" t="s">
        <v>46</v>
      </c>
      <c r="P29" s="2" t="s">
        <v>25</v>
      </c>
      <c r="Q29" s="2" t="s">
        <v>136</v>
      </c>
      <c r="R29" s="2"/>
    </row>
    <row r="30" customFormat="false" ht="15" hidden="false" customHeight="false" outlineLevel="0" collapsed="false">
      <c r="A30" s="2" t="s">
        <v>185</v>
      </c>
      <c r="B30" s="2" t="n">
        <f aca="false">LEN(A30)-LEN(SUBSTITUTE(A30,",",""))+1</f>
        <v>1</v>
      </c>
      <c r="C30" s="2" t="s">
        <v>186</v>
      </c>
      <c r="D30" s="2" t="s">
        <v>187</v>
      </c>
      <c r="E30" s="2" t="s">
        <v>188</v>
      </c>
      <c r="F30" s="2" t="s">
        <v>189</v>
      </c>
      <c r="G30" s="2" t="s">
        <v>190</v>
      </c>
      <c r="H30" s="2"/>
      <c r="I30" s="2"/>
      <c r="J30" s="2"/>
      <c r="K30" s="2"/>
      <c r="L30" s="2"/>
      <c r="M30" s="2" t="s">
        <v>45</v>
      </c>
      <c r="N30" s="3" t="n">
        <v>2341388</v>
      </c>
      <c r="O30" s="2" t="s">
        <v>46</v>
      </c>
      <c r="P30" s="2" t="s">
        <v>25</v>
      </c>
      <c r="Q30" s="2" t="s">
        <v>47</v>
      </c>
      <c r="R30" s="2"/>
    </row>
    <row r="31" customFormat="false" ht="23.85" hidden="false" customHeight="false" outlineLevel="0" collapsed="false">
      <c r="A31" s="2" t="s">
        <v>191</v>
      </c>
      <c r="B31" s="2" t="n">
        <f aca="false">LEN(A31)-LEN(SUBSTITUTE(A31,",",""))+1</f>
        <v>1</v>
      </c>
      <c r="C31" s="2" t="s">
        <v>192</v>
      </c>
      <c r="D31" s="2" t="s">
        <v>193</v>
      </c>
      <c r="E31" s="2" t="s">
        <v>194</v>
      </c>
      <c r="F31" s="2" t="s">
        <v>192</v>
      </c>
      <c r="G31" s="2" t="s">
        <v>195</v>
      </c>
      <c r="H31" s="2"/>
      <c r="I31" s="2"/>
      <c r="J31" s="2"/>
      <c r="K31" s="2"/>
      <c r="L31" s="2"/>
      <c r="M31" s="2" t="s">
        <v>23</v>
      </c>
      <c r="N31" s="3" t="n">
        <v>4559</v>
      </c>
      <c r="O31" s="2" t="s">
        <v>46</v>
      </c>
      <c r="P31" s="2" t="s">
        <v>25</v>
      </c>
      <c r="Q31" s="2" t="s">
        <v>26</v>
      </c>
      <c r="R31" s="2"/>
    </row>
    <row r="32" customFormat="false" ht="23.85" hidden="false" customHeight="false" outlineLevel="0" collapsed="false">
      <c r="A32" s="2" t="s">
        <v>196</v>
      </c>
      <c r="B32" s="2" t="n">
        <f aca="false">LEN(A32)-LEN(SUBSTITUTE(A32,",",""))+1</f>
        <v>1</v>
      </c>
      <c r="C32" s="2" t="s">
        <v>197</v>
      </c>
      <c r="D32" s="2" t="s">
        <v>198</v>
      </c>
      <c r="E32" s="2" t="s">
        <v>199</v>
      </c>
      <c r="F32" s="2" t="s">
        <v>200</v>
      </c>
      <c r="G32" s="2" t="s">
        <v>201</v>
      </c>
      <c r="H32" s="2"/>
      <c r="I32" s="2"/>
      <c r="J32" s="2"/>
      <c r="K32" s="2"/>
      <c r="L32" s="2"/>
      <c r="M32" s="2" t="s">
        <v>23</v>
      </c>
      <c r="N32" s="3" t="n">
        <v>540</v>
      </c>
      <c r="O32" s="2" t="s">
        <v>46</v>
      </c>
      <c r="P32" s="2" t="s">
        <v>25</v>
      </c>
      <c r="Q32" s="2" t="s">
        <v>202</v>
      </c>
      <c r="R32" s="2"/>
    </row>
    <row r="33" customFormat="false" ht="23.85" hidden="false" customHeight="false" outlineLevel="0" collapsed="false">
      <c r="A33" s="2" t="s">
        <v>203</v>
      </c>
      <c r="B33" s="2" t="n">
        <f aca="false">LEN(A33)-LEN(SUBSTITUTE(A33,",",""))+1</f>
        <v>1</v>
      </c>
      <c r="C33" s="2" t="s">
        <v>204</v>
      </c>
      <c r="D33" s="2" t="s">
        <v>205</v>
      </c>
      <c r="E33" s="2" t="s">
        <v>206</v>
      </c>
      <c r="F33" s="2" t="s">
        <v>207</v>
      </c>
      <c r="G33" s="2" t="s">
        <v>208</v>
      </c>
      <c r="H33" s="2"/>
      <c r="I33" s="2"/>
      <c r="J33" s="2"/>
      <c r="K33" s="2"/>
      <c r="L33" s="2"/>
      <c r="M33" s="2" t="s">
        <v>23</v>
      </c>
      <c r="N33" s="3" t="n">
        <v>426143</v>
      </c>
      <c r="O33" s="2" t="s">
        <v>33</v>
      </c>
      <c r="P33" s="2" t="s">
        <v>25</v>
      </c>
      <c r="Q33" s="2" t="s">
        <v>93</v>
      </c>
      <c r="R33" s="2"/>
    </row>
    <row r="34" customFormat="false" ht="23.85" hidden="false" customHeight="false" outlineLevel="0" collapsed="false">
      <c r="A34" s="2" t="s">
        <v>209</v>
      </c>
      <c r="B34" s="2" t="n">
        <f aca="false">LEN(A34)-LEN(SUBSTITUTE(A34,",",""))+1</f>
        <v>1</v>
      </c>
      <c r="C34" s="2" t="s">
        <v>210</v>
      </c>
      <c r="D34" s="2" t="s">
        <v>211</v>
      </c>
      <c r="E34" s="2" t="s">
        <v>212</v>
      </c>
      <c r="F34" s="2" t="s">
        <v>213</v>
      </c>
      <c r="G34" s="2" t="s">
        <v>214</v>
      </c>
      <c r="H34" s="2"/>
      <c r="I34" s="2"/>
      <c r="J34" s="2"/>
      <c r="K34" s="2"/>
      <c r="L34" s="2"/>
      <c r="M34" s="2" t="s">
        <v>23</v>
      </c>
      <c r="N34" s="3" t="n">
        <v>63611</v>
      </c>
      <c r="O34" s="2" t="s">
        <v>215</v>
      </c>
      <c r="P34" s="2" t="s">
        <v>216</v>
      </c>
      <c r="Q34" s="2" t="s">
        <v>93</v>
      </c>
      <c r="R34" s="2" t="s">
        <v>217</v>
      </c>
    </row>
    <row r="35" customFormat="false" ht="23.85" hidden="false" customHeight="false" outlineLevel="0" collapsed="false">
      <c r="A35" s="2" t="s">
        <v>218</v>
      </c>
      <c r="B35" s="2" t="n">
        <f aca="false">LEN(A35)-LEN(SUBSTITUTE(A35,",",""))+1</f>
        <v>1</v>
      </c>
      <c r="C35" s="2" t="s">
        <v>219</v>
      </c>
      <c r="D35" s="2" t="s">
        <v>220</v>
      </c>
      <c r="E35" s="2" t="s">
        <v>221</v>
      </c>
      <c r="F35" s="2" t="s">
        <v>222</v>
      </c>
      <c r="G35" s="2" t="s">
        <v>223</v>
      </c>
      <c r="H35" s="2"/>
      <c r="I35" s="2"/>
      <c r="J35" s="2"/>
      <c r="K35" s="2"/>
      <c r="L35" s="2"/>
      <c r="M35" s="2" t="s">
        <v>23</v>
      </c>
      <c r="N35" s="3" t="n">
        <v>19063</v>
      </c>
      <c r="O35" s="2" t="s">
        <v>46</v>
      </c>
      <c r="P35" s="2" t="s">
        <v>25</v>
      </c>
      <c r="Q35" s="2" t="s">
        <v>224</v>
      </c>
      <c r="R35" s="2"/>
    </row>
    <row r="36" customFormat="false" ht="23.85" hidden="false" customHeight="false" outlineLevel="0" collapsed="false">
      <c r="A36" s="2" t="s">
        <v>225</v>
      </c>
      <c r="B36" s="2" t="n">
        <f aca="false">LEN(A36)-LEN(SUBSTITUTE(A36,",",""))+1</f>
        <v>1</v>
      </c>
      <c r="C36" s="2" t="s">
        <v>226</v>
      </c>
      <c r="D36" s="2" t="s">
        <v>227</v>
      </c>
      <c r="E36" s="2" t="s">
        <v>228</v>
      </c>
      <c r="F36" s="2" t="s">
        <v>229</v>
      </c>
      <c r="G36" s="2" t="s">
        <v>214</v>
      </c>
      <c r="H36" s="2"/>
      <c r="I36" s="2"/>
      <c r="J36" s="2"/>
      <c r="K36" s="2"/>
      <c r="L36" s="2"/>
      <c r="M36" s="2" t="s">
        <v>23</v>
      </c>
      <c r="N36" s="3" t="n">
        <v>9667</v>
      </c>
      <c r="O36" s="2" t="s">
        <v>46</v>
      </c>
      <c r="P36" s="2" t="s">
        <v>25</v>
      </c>
      <c r="Q36" s="2" t="s">
        <v>230</v>
      </c>
      <c r="R36" s="2"/>
    </row>
    <row r="37" customFormat="false" ht="23.85" hidden="false" customHeight="false" outlineLevel="0" collapsed="false">
      <c r="A37" s="2" t="s">
        <v>231</v>
      </c>
      <c r="B37" s="2" t="n">
        <f aca="false">LEN(A37)-LEN(SUBSTITUTE(A37,",",""))+1</f>
        <v>1</v>
      </c>
      <c r="C37" s="2" t="s">
        <v>232</v>
      </c>
      <c r="D37" s="2" t="s">
        <v>233</v>
      </c>
      <c r="E37" s="2" t="s">
        <v>234</v>
      </c>
      <c r="F37" s="2" t="s">
        <v>235</v>
      </c>
      <c r="G37" s="2" t="s">
        <v>214</v>
      </c>
      <c r="H37" s="2"/>
      <c r="I37" s="2"/>
      <c r="J37" s="2"/>
      <c r="K37" s="2"/>
      <c r="L37" s="2"/>
      <c r="M37" s="2" t="s">
        <v>23</v>
      </c>
      <c r="N37" s="3" t="n">
        <v>14065</v>
      </c>
      <c r="O37" s="2" t="s">
        <v>46</v>
      </c>
      <c r="P37" s="2" t="s">
        <v>25</v>
      </c>
      <c r="Q37" s="2" t="s">
        <v>230</v>
      </c>
      <c r="R37" s="2"/>
    </row>
    <row r="38" customFormat="false" ht="15" hidden="false" customHeight="false" outlineLevel="0" collapsed="false">
      <c r="A38" s="2" t="s">
        <v>236</v>
      </c>
      <c r="B38" s="2" t="n">
        <f aca="false">LEN(A38)-LEN(SUBSTITUTE(A38,",",""))+1</f>
        <v>2</v>
      </c>
      <c r="C38" s="2" t="s">
        <v>237</v>
      </c>
      <c r="D38" s="2" t="s">
        <v>237</v>
      </c>
      <c r="E38" s="2" t="s">
        <v>238</v>
      </c>
      <c r="F38" s="2" t="s">
        <v>239</v>
      </c>
      <c r="G38" s="2" t="s">
        <v>214</v>
      </c>
      <c r="H38" s="2"/>
      <c r="I38" s="2"/>
      <c r="J38" s="2"/>
      <c r="K38" s="2"/>
      <c r="L38" s="2"/>
      <c r="M38" s="2" t="s">
        <v>23</v>
      </c>
      <c r="N38" s="3" t="n">
        <v>52346</v>
      </c>
      <c r="O38" s="2" t="s">
        <v>46</v>
      </c>
      <c r="P38" s="2" t="s">
        <v>25</v>
      </c>
      <c r="Q38" s="2" t="s">
        <v>230</v>
      </c>
      <c r="R38" s="2"/>
    </row>
    <row r="39" customFormat="false" ht="23.85" hidden="false" customHeight="false" outlineLevel="0" collapsed="false">
      <c r="A39" s="2" t="s">
        <v>240</v>
      </c>
      <c r="B39" s="2" t="n">
        <f aca="false">LEN(A39)-LEN(SUBSTITUTE(A39,",",""))+1</f>
        <v>1</v>
      </c>
      <c r="C39" s="2" t="s">
        <v>241</v>
      </c>
      <c r="D39" s="2" t="s">
        <v>233</v>
      </c>
      <c r="E39" s="2" t="s">
        <v>234</v>
      </c>
      <c r="F39" s="2" t="s">
        <v>235</v>
      </c>
      <c r="G39" s="2" t="s">
        <v>214</v>
      </c>
      <c r="H39" s="2"/>
      <c r="I39" s="2"/>
      <c r="J39" s="2"/>
      <c r="K39" s="2"/>
      <c r="L39" s="2"/>
      <c r="M39" s="2" t="s">
        <v>23</v>
      </c>
      <c r="N39" s="3" t="n">
        <v>14065</v>
      </c>
      <c r="O39" s="2" t="s">
        <v>46</v>
      </c>
      <c r="P39" s="2" t="s">
        <v>25</v>
      </c>
      <c r="Q39" s="2" t="s">
        <v>230</v>
      </c>
      <c r="R39" s="2"/>
    </row>
    <row r="40" customFormat="false" ht="15" hidden="false" customHeight="false" outlineLevel="0" collapsed="false">
      <c r="A40" s="2" t="s">
        <v>242</v>
      </c>
      <c r="B40" s="2" t="n">
        <f aca="false">LEN(A40)-LEN(SUBSTITUTE(A40,",",""))+1</f>
        <v>1</v>
      </c>
      <c r="C40" s="2" t="s">
        <v>243</v>
      </c>
      <c r="D40" s="2" t="s">
        <v>244</v>
      </c>
      <c r="E40" s="2" t="s">
        <v>245</v>
      </c>
      <c r="F40" s="2" t="s">
        <v>246</v>
      </c>
      <c r="G40" s="2" t="s">
        <v>247</v>
      </c>
      <c r="H40" s="2"/>
      <c r="I40" s="2"/>
      <c r="J40" s="2"/>
      <c r="K40" s="2"/>
      <c r="L40" s="2"/>
      <c r="M40" s="2" t="s">
        <v>23</v>
      </c>
      <c r="N40" s="3" t="n">
        <v>50677</v>
      </c>
      <c r="O40" s="2" t="s">
        <v>33</v>
      </c>
      <c r="P40" s="2" t="s">
        <v>25</v>
      </c>
      <c r="Q40" s="2" t="s">
        <v>230</v>
      </c>
      <c r="R40" s="2"/>
    </row>
    <row r="41" customFormat="false" ht="15" hidden="false" customHeight="false" outlineLevel="0" collapsed="false">
      <c r="A41" s="2" t="s">
        <v>248</v>
      </c>
      <c r="B41" s="2" t="n">
        <f aca="false">LEN(A41)-LEN(SUBSTITUTE(A41,",",""))+1</f>
        <v>1</v>
      </c>
      <c r="C41" s="2" t="s">
        <v>249</v>
      </c>
      <c r="D41" s="2" t="s">
        <v>244</v>
      </c>
      <c r="E41" s="2" t="s">
        <v>245</v>
      </c>
      <c r="F41" s="2" t="s">
        <v>246</v>
      </c>
      <c r="G41" s="2" t="s">
        <v>247</v>
      </c>
      <c r="H41" s="2"/>
      <c r="I41" s="2"/>
      <c r="J41" s="2"/>
      <c r="K41" s="2"/>
      <c r="L41" s="2"/>
      <c r="M41" s="2" t="s">
        <v>23</v>
      </c>
      <c r="N41" s="3" t="n">
        <v>50677</v>
      </c>
      <c r="O41" s="2" t="s">
        <v>33</v>
      </c>
      <c r="P41" s="2" t="s">
        <v>25</v>
      </c>
      <c r="Q41" s="2" t="s">
        <v>230</v>
      </c>
      <c r="R41" s="2"/>
    </row>
    <row r="42" customFormat="false" ht="23.85" hidden="false" customHeight="false" outlineLevel="0" collapsed="false">
      <c r="A42" s="2" t="s">
        <v>250</v>
      </c>
      <c r="B42" s="2" t="n">
        <f aca="false">LEN(A42)-LEN(SUBSTITUTE(A42,",",""))+1</f>
        <v>1</v>
      </c>
      <c r="C42" s="2" t="s">
        <v>251</v>
      </c>
      <c r="D42" s="2" t="s">
        <v>233</v>
      </c>
      <c r="E42" s="2" t="s">
        <v>234</v>
      </c>
      <c r="F42" s="2" t="s">
        <v>235</v>
      </c>
      <c r="G42" s="2" t="s">
        <v>214</v>
      </c>
      <c r="H42" s="2"/>
      <c r="I42" s="2"/>
      <c r="J42" s="2"/>
      <c r="K42" s="2"/>
      <c r="L42" s="2"/>
      <c r="M42" s="2" t="s">
        <v>23</v>
      </c>
      <c r="N42" s="3" t="n">
        <v>14065</v>
      </c>
      <c r="O42" s="2" t="s">
        <v>46</v>
      </c>
      <c r="P42" s="2" t="s">
        <v>25</v>
      </c>
      <c r="Q42" s="2" t="s">
        <v>230</v>
      </c>
      <c r="R42" s="2"/>
    </row>
    <row r="43" customFormat="false" ht="35.05" hidden="false" customHeight="false" outlineLevel="0" collapsed="false">
      <c r="A43" s="2" t="s">
        <v>252</v>
      </c>
      <c r="B43" s="2" t="n">
        <f aca="false">LEN(A43)-LEN(SUBSTITUTE(A43,",",""))+1</f>
        <v>1</v>
      </c>
      <c r="C43" s="2" t="s">
        <v>253</v>
      </c>
      <c r="D43" s="2" t="s">
        <v>254</v>
      </c>
      <c r="E43" s="2" t="s">
        <v>255</v>
      </c>
      <c r="F43" s="2" t="s">
        <v>256</v>
      </c>
      <c r="G43" s="2" t="s">
        <v>257</v>
      </c>
      <c r="H43" s="2"/>
      <c r="I43" s="2"/>
      <c r="J43" s="2"/>
      <c r="K43" s="2"/>
      <c r="L43" s="2"/>
      <c r="M43" s="2" t="s">
        <v>23</v>
      </c>
      <c r="N43" s="3" t="n">
        <v>1218</v>
      </c>
      <c r="O43" s="2" t="s">
        <v>215</v>
      </c>
      <c r="P43" s="2" t="s">
        <v>216</v>
      </c>
      <c r="Q43" s="2" t="s">
        <v>136</v>
      </c>
      <c r="R43" s="2" t="s">
        <v>258</v>
      </c>
    </row>
    <row r="44" customFormat="false" ht="35.05" hidden="false" customHeight="false" outlineLevel="0" collapsed="false">
      <c r="A44" s="2" t="s">
        <v>259</v>
      </c>
      <c r="B44" s="2" t="n">
        <f aca="false">LEN(A44)-LEN(SUBSTITUTE(A44,",",""))+1</f>
        <v>1</v>
      </c>
      <c r="C44" s="2" t="s">
        <v>253</v>
      </c>
      <c r="D44" s="2" t="s">
        <v>254</v>
      </c>
      <c r="E44" s="2" t="s">
        <v>255</v>
      </c>
      <c r="F44" s="2" t="s">
        <v>256</v>
      </c>
      <c r="G44" s="2" t="s">
        <v>257</v>
      </c>
      <c r="H44" s="2"/>
      <c r="I44" s="2"/>
      <c r="J44" s="2"/>
      <c r="K44" s="2"/>
      <c r="L44" s="2"/>
      <c r="M44" s="2" t="s">
        <v>23</v>
      </c>
      <c r="N44" s="3" t="n">
        <v>1218</v>
      </c>
      <c r="O44" s="2" t="s">
        <v>33</v>
      </c>
      <c r="P44" s="2" t="s">
        <v>25</v>
      </c>
      <c r="Q44" s="2" t="s">
        <v>136</v>
      </c>
      <c r="R44" s="2" t="s">
        <v>260</v>
      </c>
    </row>
    <row r="45" customFormat="false" ht="23.85" hidden="false" customHeight="false" outlineLevel="0" collapsed="false">
      <c r="A45" s="2" t="s">
        <v>261</v>
      </c>
      <c r="B45" s="2" t="n">
        <f aca="false">LEN(A45)-LEN(SUBSTITUTE(A45,",",""))+1</f>
        <v>1</v>
      </c>
      <c r="C45" s="2" t="s">
        <v>262</v>
      </c>
      <c r="D45" s="2" t="s">
        <v>263</v>
      </c>
      <c r="E45" s="2" t="s">
        <v>264</v>
      </c>
      <c r="F45" s="2" t="s">
        <v>265</v>
      </c>
      <c r="G45" s="2" t="s">
        <v>266</v>
      </c>
      <c r="H45" s="2"/>
      <c r="I45" s="2"/>
      <c r="J45" s="2" t="s">
        <v>114</v>
      </c>
      <c r="K45" s="2" t="s">
        <v>267</v>
      </c>
      <c r="L45" s="2"/>
      <c r="M45" s="2" t="s">
        <v>23</v>
      </c>
      <c r="N45" s="3" t="n">
        <v>12392</v>
      </c>
      <c r="O45" s="2" t="s">
        <v>46</v>
      </c>
      <c r="P45" s="2" t="s">
        <v>25</v>
      </c>
      <c r="Q45" s="2" t="s">
        <v>93</v>
      </c>
      <c r="R45" s="2" t="s">
        <v>268</v>
      </c>
    </row>
    <row r="46" customFormat="false" ht="15" hidden="false" customHeight="false" outlineLevel="0" collapsed="false">
      <c r="A46" s="2" t="s">
        <v>269</v>
      </c>
      <c r="B46" s="2" t="n">
        <f aca="false">LEN(A46)-LEN(SUBSTITUTE(A46,",",""))+1</f>
        <v>1</v>
      </c>
      <c r="C46" s="2" t="s">
        <v>270</v>
      </c>
      <c r="D46" s="2" t="s">
        <v>271</v>
      </c>
      <c r="E46" s="2" t="s">
        <v>272</v>
      </c>
      <c r="F46" s="2" t="s">
        <v>270</v>
      </c>
      <c r="G46" s="2" t="s">
        <v>273</v>
      </c>
      <c r="H46" s="2"/>
      <c r="I46" s="2"/>
      <c r="J46" s="2"/>
      <c r="K46" s="2"/>
      <c r="L46" s="2"/>
      <c r="M46" s="2" t="s">
        <v>23</v>
      </c>
      <c r="N46" s="3" t="n">
        <v>23546</v>
      </c>
      <c r="O46" s="2" t="s">
        <v>46</v>
      </c>
      <c r="P46" s="2" t="s">
        <v>25</v>
      </c>
      <c r="Q46" s="2" t="s">
        <v>93</v>
      </c>
      <c r="R46" s="2"/>
    </row>
    <row r="47" customFormat="false" ht="15" hidden="false" customHeight="false" outlineLevel="0" collapsed="false">
      <c r="A47" s="2" t="s">
        <v>274</v>
      </c>
      <c r="B47" s="2" t="n">
        <f aca="false">LEN(A47)-LEN(SUBSTITUTE(A47,",",""))+1</f>
        <v>3</v>
      </c>
      <c r="C47" s="2" t="s">
        <v>275</v>
      </c>
      <c r="D47" s="2" t="s">
        <v>276</v>
      </c>
      <c r="E47" s="2" t="s">
        <v>277</v>
      </c>
      <c r="F47" s="2" t="s">
        <v>275</v>
      </c>
      <c r="G47" s="2" t="s">
        <v>273</v>
      </c>
      <c r="H47" s="2"/>
      <c r="I47" s="2"/>
      <c r="J47" s="2"/>
      <c r="K47" s="2"/>
      <c r="L47" s="2"/>
      <c r="M47" s="2" t="s">
        <v>45</v>
      </c>
      <c r="N47" s="3" t="n">
        <v>958459</v>
      </c>
      <c r="O47" s="2" t="s">
        <v>46</v>
      </c>
      <c r="P47" s="2" t="s">
        <v>25</v>
      </c>
      <c r="Q47" s="2" t="s">
        <v>34</v>
      </c>
      <c r="R47" s="2"/>
    </row>
    <row r="48" customFormat="false" ht="23.85" hidden="false" customHeight="false" outlineLevel="0" collapsed="false">
      <c r="A48" s="2" t="s">
        <v>278</v>
      </c>
      <c r="B48" s="2" t="n">
        <f aca="false">LEN(A48)-LEN(SUBSTITUTE(A48,",",""))+1</f>
        <v>2</v>
      </c>
      <c r="C48" s="2" t="s">
        <v>279</v>
      </c>
      <c r="D48" s="2" t="s">
        <v>271</v>
      </c>
      <c r="E48" s="2" t="s">
        <v>280</v>
      </c>
      <c r="F48" s="2" t="s">
        <v>281</v>
      </c>
      <c r="G48" s="2" t="s">
        <v>282</v>
      </c>
      <c r="H48" s="2"/>
      <c r="I48" s="2"/>
      <c r="J48" s="2"/>
      <c r="K48" s="2"/>
      <c r="L48" s="2"/>
      <c r="M48" s="2" t="s">
        <v>23</v>
      </c>
      <c r="N48" s="3" t="n">
        <v>2359</v>
      </c>
      <c r="O48" s="2" t="s">
        <v>46</v>
      </c>
      <c r="P48" s="2" t="s">
        <v>25</v>
      </c>
      <c r="Q48" s="2" t="s">
        <v>136</v>
      </c>
      <c r="R48" s="2"/>
    </row>
    <row r="49" customFormat="false" ht="15" hidden="false" customHeight="false" outlineLevel="0" collapsed="false">
      <c r="A49" s="2" t="s">
        <v>283</v>
      </c>
      <c r="B49" s="2" t="n">
        <f aca="false">LEN(A49)-LEN(SUBSTITUTE(A49,",",""))+1</f>
        <v>2</v>
      </c>
      <c r="C49" s="2" t="s">
        <v>284</v>
      </c>
      <c r="D49" s="2" t="s">
        <v>285</v>
      </c>
      <c r="E49" s="2" t="s">
        <v>286</v>
      </c>
      <c r="F49" s="2" t="s">
        <v>287</v>
      </c>
      <c r="G49" s="2" t="s">
        <v>288</v>
      </c>
      <c r="H49" s="2" t="s">
        <v>289</v>
      </c>
      <c r="I49" s="2"/>
      <c r="J49" s="2" t="s">
        <v>290</v>
      </c>
      <c r="K49" s="2"/>
      <c r="L49" s="2" t="s">
        <v>291</v>
      </c>
      <c r="M49" s="2" t="s">
        <v>45</v>
      </c>
      <c r="N49" s="3" t="n">
        <v>23037967</v>
      </c>
      <c r="O49" s="2" t="s">
        <v>46</v>
      </c>
      <c r="P49" s="2" t="s">
        <v>25</v>
      </c>
      <c r="Q49" s="2" t="s">
        <v>47</v>
      </c>
      <c r="R49" s="2"/>
    </row>
    <row r="50" customFormat="false" ht="23.85" hidden="false" customHeight="false" outlineLevel="0" collapsed="false">
      <c r="A50" s="2" t="s">
        <v>292</v>
      </c>
      <c r="B50" s="2" t="n">
        <f aca="false">LEN(A50)-LEN(SUBSTITUTE(A50,",",""))+1</f>
        <v>1</v>
      </c>
      <c r="C50" s="2" t="s">
        <v>293</v>
      </c>
      <c r="D50" s="2" t="s">
        <v>294</v>
      </c>
      <c r="E50" s="2" t="s">
        <v>295</v>
      </c>
      <c r="F50" s="2" t="s">
        <v>296</v>
      </c>
      <c r="G50" s="2" t="s">
        <v>288</v>
      </c>
      <c r="H50" s="2" t="s">
        <v>42</v>
      </c>
      <c r="I50" s="2"/>
      <c r="J50" s="2" t="s">
        <v>290</v>
      </c>
      <c r="K50" s="2"/>
      <c r="L50" s="2" t="s">
        <v>297</v>
      </c>
      <c r="M50" s="2" t="s">
        <v>86</v>
      </c>
      <c r="N50" s="3" t="n">
        <v>391677</v>
      </c>
      <c r="O50" s="2" t="s">
        <v>46</v>
      </c>
      <c r="P50" s="2" t="s">
        <v>25</v>
      </c>
      <c r="Q50" s="2" t="s">
        <v>47</v>
      </c>
      <c r="R50" s="2"/>
    </row>
    <row r="51" customFormat="false" ht="15" hidden="false" customHeight="false" outlineLevel="0" collapsed="false">
      <c r="A51" s="2" t="s">
        <v>298</v>
      </c>
      <c r="B51" s="2" t="n">
        <f aca="false">LEN(A51)-LEN(SUBSTITUTE(A51,",",""))+1</f>
        <v>3</v>
      </c>
      <c r="C51" s="2" t="s">
        <v>186</v>
      </c>
      <c r="D51" s="2" t="s">
        <v>294</v>
      </c>
      <c r="E51" s="2" t="s">
        <v>299</v>
      </c>
      <c r="F51" s="2" t="s">
        <v>300</v>
      </c>
      <c r="G51" s="2" t="s">
        <v>288</v>
      </c>
      <c r="H51" s="2" t="s">
        <v>42</v>
      </c>
      <c r="I51" s="2"/>
      <c r="J51" s="2" t="s">
        <v>290</v>
      </c>
      <c r="K51" s="2"/>
      <c r="L51" s="2" t="s">
        <v>297</v>
      </c>
      <c r="M51" s="2" t="s">
        <v>45</v>
      </c>
      <c r="N51" s="3" t="n">
        <v>4080693</v>
      </c>
      <c r="O51" s="2" t="s">
        <v>46</v>
      </c>
      <c r="P51" s="2" t="s">
        <v>25</v>
      </c>
      <c r="Q51" s="2" t="s">
        <v>202</v>
      </c>
      <c r="R51" s="2"/>
    </row>
    <row r="52" customFormat="false" ht="15" hidden="false" customHeight="false" outlineLevel="0" collapsed="false">
      <c r="A52" s="2" t="s">
        <v>301</v>
      </c>
      <c r="B52" s="2" t="n">
        <f aca="false">LEN(A52)-LEN(SUBSTITUTE(A52,",",""))+1</f>
        <v>1</v>
      </c>
      <c r="C52" s="2" t="s">
        <v>302</v>
      </c>
      <c r="D52" s="2" t="s">
        <v>285</v>
      </c>
      <c r="E52" s="2" t="s">
        <v>303</v>
      </c>
      <c r="F52" s="2" t="s">
        <v>304</v>
      </c>
      <c r="G52" s="2" t="s">
        <v>288</v>
      </c>
      <c r="H52" s="2" t="s">
        <v>289</v>
      </c>
      <c r="I52" s="2"/>
      <c r="J52" s="2" t="s">
        <v>290</v>
      </c>
      <c r="K52" s="2"/>
      <c r="L52" s="2" t="s">
        <v>291</v>
      </c>
      <c r="M52" s="2" t="s">
        <v>45</v>
      </c>
      <c r="N52" s="3" t="n">
        <v>23746831</v>
      </c>
      <c r="O52" s="2" t="s">
        <v>46</v>
      </c>
      <c r="P52" s="2" t="s">
        <v>25</v>
      </c>
      <c r="Q52" s="2" t="s">
        <v>93</v>
      </c>
      <c r="R52" s="2"/>
    </row>
    <row r="53" customFormat="false" ht="15" hidden="false" customHeight="false" outlineLevel="0" collapsed="false">
      <c r="A53" s="2" t="s">
        <v>305</v>
      </c>
      <c r="B53" s="2" t="n">
        <f aca="false">LEN(A53)-LEN(SUBSTITUTE(A53,",",""))+1</f>
        <v>2</v>
      </c>
      <c r="C53" s="2" t="s">
        <v>306</v>
      </c>
      <c r="D53" s="2" t="s">
        <v>294</v>
      </c>
      <c r="E53" s="2" t="s">
        <v>307</v>
      </c>
      <c r="F53" s="2" t="s">
        <v>308</v>
      </c>
      <c r="G53" s="2" t="s">
        <v>288</v>
      </c>
      <c r="H53" s="2" t="s">
        <v>42</v>
      </c>
      <c r="I53" s="2"/>
      <c r="J53" s="2" t="s">
        <v>290</v>
      </c>
      <c r="K53" s="2"/>
      <c r="L53" s="2" t="s">
        <v>297</v>
      </c>
      <c r="M53" s="2" t="s">
        <v>45</v>
      </c>
      <c r="N53" s="3" t="n">
        <v>6009635</v>
      </c>
      <c r="O53" s="2" t="s">
        <v>46</v>
      </c>
      <c r="P53" s="2" t="s">
        <v>25</v>
      </c>
      <c r="Q53" s="2" t="s">
        <v>93</v>
      </c>
      <c r="R53" s="2"/>
    </row>
    <row r="54" customFormat="false" ht="15" hidden="false" customHeight="false" outlineLevel="0" collapsed="false">
      <c r="A54" s="2" t="s">
        <v>309</v>
      </c>
      <c r="B54" s="2" t="n">
        <f aca="false">LEN(A54)-LEN(SUBSTITUTE(A54,",",""))+1</f>
        <v>2</v>
      </c>
      <c r="C54" s="2" t="s">
        <v>310</v>
      </c>
      <c r="D54" s="2" t="s">
        <v>294</v>
      </c>
      <c r="E54" s="2" t="s">
        <v>311</v>
      </c>
      <c r="F54" s="2" t="s">
        <v>312</v>
      </c>
      <c r="G54" s="2" t="s">
        <v>288</v>
      </c>
      <c r="H54" s="2" t="s">
        <v>42</v>
      </c>
      <c r="I54" s="2"/>
      <c r="J54" s="2" t="s">
        <v>290</v>
      </c>
      <c r="K54" s="2"/>
      <c r="L54" s="2" t="s">
        <v>297</v>
      </c>
      <c r="M54" s="2" t="s">
        <v>45</v>
      </c>
      <c r="N54" s="3" t="n">
        <v>8233229</v>
      </c>
      <c r="O54" s="2" t="s">
        <v>46</v>
      </c>
      <c r="P54" s="2" t="s">
        <v>25</v>
      </c>
      <c r="Q54" s="2" t="s">
        <v>93</v>
      </c>
      <c r="R54" s="2" t="s">
        <v>313</v>
      </c>
    </row>
    <row r="55" customFormat="false" ht="15" hidden="false" customHeight="false" outlineLevel="0" collapsed="false">
      <c r="A55" s="2" t="s">
        <v>314</v>
      </c>
      <c r="B55" s="2" t="n">
        <f aca="false">LEN(A55)-LEN(SUBSTITUTE(A55,",",""))+1</f>
        <v>1</v>
      </c>
      <c r="C55" s="2" t="s">
        <v>315</v>
      </c>
      <c r="D55" s="2" t="s">
        <v>294</v>
      </c>
      <c r="E55" s="2" t="s">
        <v>316</v>
      </c>
      <c r="F55" s="2" t="s">
        <v>317</v>
      </c>
      <c r="G55" s="2" t="s">
        <v>288</v>
      </c>
      <c r="H55" s="2" t="s">
        <v>42</v>
      </c>
      <c r="I55" s="2"/>
      <c r="J55" s="2" t="s">
        <v>290</v>
      </c>
      <c r="K55" s="2"/>
      <c r="L55" s="2" t="s">
        <v>297</v>
      </c>
      <c r="M55" s="2" t="s">
        <v>23</v>
      </c>
      <c r="N55" s="3" t="n">
        <v>105905</v>
      </c>
      <c r="O55" s="2" t="s">
        <v>46</v>
      </c>
      <c r="P55" s="2" t="s">
        <v>25</v>
      </c>
      <c r="Q55" s="2" t="s">
        <v>93</v>
      </c>
      <c r="R55" s="2" t="s">
        <v>318</v>
      </c>
    </row>
    <row r="56" customFormat="false" ht="15" hidden="false" customHeight="false" outlineLevel="0" collapsed="false">
      <c r="A56" s="2" t="s">
        <v>319</v>
      </c>
      <c r="B56" s="2" t="n">
        <f aca="false">LEN(A56)-LEN(SUBSTITUTE(A56,",",""))+1</f>
        <v>1</v>
      </c>
      <c r="C56" s="2" t="s">
        <v>320</v>
      </c>
      <c r="D56" s="2" t="s">
        <v>294</v>
      </c>
      <c r="E56" s="2" t="s">
        <v>321</v>
      </c>
      <c r="F56" s="2" t="s">
        <v>322</v>
      </c>
      <c r="G56" s="2" t="s">
        <v>288</v>
      </c>
      <c r="H56" s="2" t="s">
        <v>42</v>
      </c>
      <c r="I56" s="2"/>
      <c r="J56" s="2" t="s">
        <v>290</v>
      </c>
      <c r="K56" s="2"/>
      <c r="L56" s="2" t="s">
        <v>297</v>
      </c>
      <c r="M56" s="2" t="s">
        <v>23</v>
      </c>
      <c r="N56" s="3" t="n">
        <v>8817</v>
      </c>
      <c r="O56" s="2" t="s">
        <v>46</v>
      </c>
      <c r="P56" s="2" t="s">
        <v>25</v>
      </c>
      <c r="Q56" s="2" t="s">
        <v>93</v>
      </c>
      <c r="R56" s="2"/>
    </row>
    <row r="57" customFormat="false" ht="23.85" hidden="false" customHeight="false" outlineLevel="0" collapsed="false">
      <c r="A57" s="2" t="s">
        <v>323</v>
      </c>
      <c r="B57" s="2" t="n">
        <f aca="false">LEN(A57)-LEN(SUBSTITUTE(A57,",",""))+1</f>
        <v>11</v>
      </c>
      <c r="C57" s="2" t="s">
        <v>284</v>
      </c>
      <c r="D57" s="2" t="s">
        <v>294</v>
      </c>
      <c r="E57" s="2" t="s">
        <v>324</v>
      </c>
      <c r="F57" s="2" t="s">
        <v>325</v>
      </c>
      <c r="G57" s="2" t="s">
        <v>288</v>
      </c>
      <c r="H57" s="2" t="s">
        <v>42</v>
      </c>
      <c r="I57" s="2"/>
      <c r="J57" s="2" t="s">
        <v>290</v>
      </c>
      <c r="K57" s="2"/>
      <c r="L57" s="2" t="s">
        <v>297</v>
      </c>
      <c r="M57" s="2" t="s">
        <v>45</v>
      </c>
      <c r="N57" s="3" t="n">
        <v>21738660</v>
      </c>
      <c r="O57" s="2" t="s">
        <v>46</v>
      </c>
      <c r="P57" s="2" t="s">
        <v>25</v>
      </c>
      <c r="Q57" s="2" t="s">
        <v>93</v>
      </c>
      <c r="R57" s="2"/>
    </row>
    <row r="58" customFormat="false" ht="15" hidden="false" customHeight="false" outlineLevel="0" collapsed="false">
      <c r="A58" s="2" t="s">
        <v>326</v>
      </c>
      <c r="B58" s="2" t="n">
        <f aca="false">LEN(A58)-LEN(SUBSTITUTE(A58,",",""))+1</f>
        <v>1</v>
      </c>
      <c r="C58" s="2" t="s">
        <v>327</v>
      </c>
      <c r="D58" s="2" t="s">
        <v>294</v>
      </c>
      <c r="E58" s="2" t="s">
        <v>328</v>
      </c>
      <c r="F58" s="2" t="s">
        <v>329</v>
      </c>
      <c r="G58" s="2" t="s">
        <v>288</v>
      </c>
      <c r="H58" s="2" t="s">
        <v>42</v>
      </c>
      <c r="I58" s="2"/>
      <c r="J58" s="2" t="s">
        <v>290</v>
      </c>
      <c r="K58" s="2"/>
      <c r="L58" s="2" t="s">
        <v>297</v>
      </c>
      <c r="M58" s="2" t="s">
        <v>23</v>
      </c>
      <c r="N58" s="3" t="n">
        <v>168245</v>
      </c>
      <c r="O58" s="2" t="s">
        <v>46</v>
      </c>
      <c r="P58" s="2" t="s">
        <v>25</v>
      </c>
      <c r="Q58" s="2" t="s">
        <v>93</v>
      </c>
      <c r="R58" s="2" t="s">
        <v>330</v>
      </c>
    </row>
    <row r="59" customFormat="false" ht="15" hidden="false" customHeight="false" outlineLevel="0" collapsed="false">
      <c r="A59" s="2" t="s">
        <v>331</v>
      </c>
      <c r="B59" s="2" t="n">
        <f aca="false">LEN(A59)-LEN(SUBSTITUTE(A59,",",""))+1</f>
        <v>2</v>
      </c>
      <c r="C59" s="2" t="s">
        <v>332</v>
      </c>
      <c r="D59" s="2" t="s">
        <v>294</v>
      </c>
      <c r="E59" s="2" t="s">
        <v>333</v>
      </c>
      <c r="F59" s="2" t="s">
        <v>334</v>
      </c>
      <c r="G59" s="2" t="s">
        <v>288</v>
      </c>
      <c r="H59" s="2" t="s">
        <v>42</v>
      </c>
      <c r="I59" s="2"/>
      <c r="J59" s="2" t="s">
        <v>290</v>
      </c>
      <c r="K59" s="2"/>
      <c r="L59" s="2" t="s">
        <v>297</v>
      </c>
      <c r="M59" s="2" t="s">
        <v>45</v>
      </c>
      <c r="N59" s="3" t="n">
        <v>2084377</v>
      </c>
      <c r="O59" s="2" t="s">
        <v>46</v>
      </c>
      <c r="P59" s="2" t="s">
        <v>25</v>
      </c>
      <c r="Q59" s="2" t="s">
        <v>93</v>
      </c>
      <c r="R59" s="2"/>
    </row>
    <row r="60" customFormat="false" ht="23.85" hidden="false" customHeight="false" outlineLevel="0" collapsed="false">
      <c r="A60" s="2" t="s">
        <v>335</v>
      </c>
      <c r="B60" s="2" t="n">
        <f aca="false">LEN(A60)-LEN(SUBSTITUTE(A60,",",""))+1</f>
        <v>7</v>
      </c>
      <c r="C60" s="2" t="s">
        <v>336</v>
      </c>
      <c r="D60" s="2" t="s">
        <v>294</v>
      </c>
      <c r="E60" s="2" t="s">
        <v>337</v>
      </c>
      <c r="F60" s="2" t="s">
        <v>338</v>
      </c>
      <c r="G60" s="2" t="s">
        <v>288</v>
      </c>
      <c r="H60" s="2" t="s">
        <v>42</v>
      </c>
      <c r="I60" s="2"/>
      <c r="J60" s="2" t="s">
        <v>290</v>
      </c>
      <c r="K60" s="2"/>
      <c r="L60" s="2" t="s">
        <v>297</v>
      </c>
      <c r="M60" s="2" t="s">
        <v>45</v>
      </c>
      <c r="N60" s="3" t="n">
        <v>1753546</v>
      </c>
      <c r="O60" s="2" t="s">
        <v>46</v>
      </c>
      <c r="P60" s="2" t="s">
        <v>25</v>
      </c>
      <c r="Q60" s="2" t="s">
        <v>26</v>
      </c>
      <c r="R60" s="2"/>
    </row>
    <row r="61" customFormat="false" ht="15" hidden="false" customHeight="false" outlineLevel="0" collapsed="false">
      <c r="A61" s="2" t="s">
        <v>339</v>
      </c>
      <c r="B61" s="2" t="n">
        <f aca="false">LEN(A61)-LEN(SUBSTITUTE(A61,",",""))+1</f>
        <v>5</v>
      </c>
      <c r="C61" s="2" t="s">
        <v>340</v>
      </c>
      <c r="D61" s="2" t="s">
        <v>294</v>
      </c>
      <c r="E61" s="2" t="s">
        <v>341</v>
      </c>
      <c r="F61" s="2" t="s">
        <v>342</v>
      </c>
      <c r="G61" s="2" t="s">
        <v>288</v>
      </c>
      <c r="H61" s="2" t="s">
        <v>42</v>
      </c>
      <c r="I61" s="2"/>
      <c r="J61" s="2" t="s">
        <v>290</v>
      </c>
      <c r="K61" s="2"/>
      <c r="L61" s="2" t="s">
        <v>297</v>
      </c>
      <c r="M61" s="2" t="s">
        <v>45</v>
      </c>
      <c r="N61" s="3" t="n">
        <v>1195841</v>
      </c>
      <c r="O61" s="2" t="s">
        <v>46</v>
      </c>
      <c r="P61" s="2" t="s">
        <v>25</v>
      </c>
      <c r="Q61" s="2" t="s">
        <v>34</v>
      </c>
      <c r="R61" s="2"/>
    </row>
    <row r="62" customFormat="false" ht="15" hidden="false" customHeight="false" outlineLevel="0" collapsed="false">
      <c r="A62" s="2" t="s">
        <v>343</v>
      </c>
      <c r="B62" s="2" t="n">
        <f aca="false">LEN(A62)-LEN(SUBSTITUTE(A62,",",""))+1</f>
        <v>2</v>
      </c>
      <c r="C62" s="2" t="s">
        <v>344</v>
      </c>
      <c r="D62" s="2" t="s">
        <v>294</v>
      </c>
      <c r="E62" s="2" t="s">
        <v>345</v>
      </c>
      <c r="F62" s="2" t="s">
        <v>346</v>
      </c>
      <c r="G62" s="2" t="s">
        <v>288</v>
      </c>
      <c r="H62" s="2" t="s">
        <v>42</v>
      </c>
      <c r="I62" s="2"/>
      <c r="J62" s="2" t="s">
        <v>290</v>
      </c>
      <c r="K62" s="2"/>
      <c r="L62" s="2" t="s">
        <v>297</v>
      </c>
      <c r="M62" s="2" t="s">
        <v>45</v>
      </c>
      <c r="N62" s="3" t="n">
        <v>840845</v>
      </c>
      <c r="O62" s="2" t="s">
        <v>46</v>
      </c>
      <c r="P62" s="2" t="s">
        <v>25</v>
      </c>
      <c r="Q62" s="2" t="s">
        <v>34</v>
      </c>
      <c r="R62" s="2"/>
    </row>
    <row r="63" customFormat="false" ht="15" hidden="false" customHeight="false" outlineLevel="0" collapsed="false">
      <c r="A63" s="2" t="s">
        <v>347</v>
      </c>
      <c r="B63" s="2" t="n">
        <f aca="false">LEN(A63)-LEN(SUBSTITUTE(A63,",",""))+1</f>
        <v>1</v>
      </c>
      <c r="C63" s="2" t="s">
        <v>348</v>
      </c>
      <c r="D63" s="2" t="s">
        <v>294</v>
      </c>
      <c r="E63" s="2" t="s">
        <v>349</v>
      </c>
      <c r="F63" s="2" t="s">
        <v>350</v>
      </c>
      <c r="G63" s="2" t="s">
        <v>288</v>
      </c>
      <c r="H63" s="2" t="s">
        <v>42</v>
      </c>
      <c r="I63" s="2"/>
      <c r="J63" s="2" t="s">
        <v>290</v>
      </c>
      <c r="K63" s="2"/>
      <c r="L63" s="2" t="s">
        <v>297</v>
      </c>
      <c r="M63" s="2" t="s">
        <v>23</v>
      </c>
      <c r="N63" s="3" t="n">
        <v>60782</v>
      </c>
      <c r="O63" s="2" t="s">
        <v>46</v>
      </c>
      <c r="P63" s="2" t="s">
        <v>25</v>
      </c>
      <c r="Q63" s="2" t="s">
        <v>34</v>
      </c>
      <c r="R63" s="2"/>
    </row>
    <row r="64" customFormat="false" ht="23.85" hidden="false" customHeight="false" outlineLevel="0" collapsed="false">
      <c r="A64" s="2" t="s">
        <v>351</v>
      </c>
      <c r="B64" s="2" t="n">
        <f aca="false">LEN(A64)-LEN(SUBSTITUTE(A64,",",""))+1</f>
        <v>3</v>
      </c>
      <c r="C64" s="2" t="s">
        <v>332</v>
      </c>
      <c r="D64" s="2" t="s">
        <v>285</v>
      </c>
      <c r="E64" s="2" t="s">
        <v>352</v>
      </c>
      <c r="F64" s="2" t="s">
        <v>353</v>
      </c>
      <c r="G64" s="2" t="s">
        <v>288</v>
      </c>
      <c r="H64" s="2" t="s">
        <v>289</v>
      </c>
      <c r="I64" s="2"/>
      <c r="J64" s="2" t="s">
        <v>290</v>
      </c>
      <c r="K64" s="2"/>
      <c r="L64" s="2" t="s">
        <v>291</v>
      </c>
      <c r="M64" s="2" t="s">
        <v>45</v>
      </c>
      <c r="N64" s="3" t="n">
        <v>5690986</v>
      </c>
      <c r="O64" s="2" t="s">
        <v>46</v>
      </c>
      <c r="P64" s="2" t="s">
        <v>25</v>
      </c>
      <c r="Q64" s="2" t="s">
        <v>34</v>
      </c>
      <c r="R64" s="2" t="s">
        <v>354</v>
      </c>
    </row>
    <row r="65" customFormat="false" ht="15" hidden="false" customHeight="false" outlineLevel="0" collapsed="false">
      <c r="A65" s="2" t="s">
        <v>355</v>
      </c>
      <c r="B65" s="2" t="n">
        <f aca="false">LEN(A65)-LEN(SUBSTITUTE(A65,",",""))+1</f>
        <v>2</v>
      </c>
      <c r="C65" s="2" t="s">
        <v>356</v>
      </c>
      <c r="D65" s="2" t="s">
        <v>357</v>
      </c>
      <c r="E65" s="2" t="s">
        <v>358</v>
      </c>
      <c r="F65" s="2" t="s">
        <v>359</v>
      </c>
      <c r="G65" s="2" t="s">
        <v>288</v>
      </c>
      <c r="H65" s="2" t="s">
        <v>360</v>
      </c>
      <c r="I65" s="2"/>
      <c r="J65" s="2" t="s">
        <v>290</v>
      </c>
      <c r="K65" s="2"/>
      <c r="L65" s="2" t="s">
        <v>361</v>
      </c>
      <c r="M65" s="2" t="s">
        <v>45</v>
      </c>
      <c r="N65" s="3" t="n">
        <v>2447130</v>
      </c>
      <c r="O65" s="2" t="s">
        <v>46</v>
      </c>
      <c r="P65" s="2" t="s">
        <v>25</v>
      </c>
      <c r="Q65" s="2" t="s">
        <v>136</v>
      </c>
      <c r="R65" s="2" t="s">
        <v>362</v>
      </c>
    </row>
    <row r="66" customFormat="false" ht="23.85" hidden="false" customHeight="false" outlineLevel="0" collapsed="false">
      <c r="A66" s="2" t="s">
        <v>363</v>
      </c>
      <c r="B66" s="2" t="n">
        <f aca="false">LEN(A66)-LEN(SUBSTITUTE(A66,",",""))+1</f>
        <v>2</v>
      </c>
      <c r="C66" s="2" t="s">
        <v>364</v>
      </c>
      <c r="D66" s="2" t="s">
        <v>294</v>
      </c>
      <c r="E66" s="2" t="s">
        <v>365</v>
      </c>
      <c r="F66" s="2" t="s">
        <v>366</v>
      </c>
      <c r="G66" s="2" t="s">
        <v>288</v>
      </c>
      <c r="H66" s="2" t="s">
        <v>42</v>
      </c>
      <c r="I66" s="2"/>
      <c r="J66" s="2" t="s">
        <v>290</v>
      </c>
      <c r="K66" s="2"/>
      <c r="L66" s="2" t="s">
        <v>297</v>
      </c>
      <c r="M66" s="2" t="s">
        <v>86</v>
      </c>
      <c r="N66" s="3" t="n">
        <v>54795</v>
      </c>
      <c r="O66" s="2" t="s">
        <v>46</v>
      </c>
      <c r="P66" s="2" t="s">
        <v>25</v>
      </c>
      <c r="Q66" s="2" t="s">
        <v>136</v>
      </c>
      <c r="R66" s="2"/>
    </row>
    <row r="67" customFormat="false" ht="15" hidden="false" customHeight="false" outlineLevel="0" collapsed="false">
      <c r="A67" s="2" t="s">
        <v>367</v>
      </c>
      <c r="B67" s="2" t="n">
        <f aca="false">LEN(A67)-LEN(SUBSTITUTE(A67,",",""))+1</f>
        <v>2</v>
      </c>
      <c r="C67" s="2" t="s">
        <v>368</v>
      </c>
      <c r="D67" s="2" t="s">
        <v>294</v>
      </c>
      <c r="E67" s="2" t="s">
        <v>369</v>
      </c>
      <c r="F67" s="2" t="s">
        <v>370</v>
      </c>
      <c r="G67" s="2" t="s">
        <v>288</v>
      </c>
      <c r="H67" s="2" t="s">
        <v>42</v>
      </c>
      <c r="I67" s="2"/>
      <c r="J67" s="2" t="s">
        <v>290</v>
      </c>
      <c r="K67" s="2"/>
      <c r="L67" s="2" t="s">
        <v>297</v>
      </c>
      <c r="M67" s="2" t="s">
        <v>45</v>
      </c>
      <c r="N67" s="3" t="n">
        <v>1209063</v>
      </c>
      <c r="O67" s="2" t="s">
        <v>46</v>
      </c>
      <c r="P67" s="2" t="s">
        <v>25</v>
      </c>
      <c r="Q67" s="2" t="s">
        <v>136</v>
      </c>
      <c r="R67" s="2"/>
    </row>
    <row r="68" customFormat="false" ht="15" hidden="false" customHeight="false" outlineLevel="0" collapsed="false">
      <c r="A68" s="2" t="s">
        <v>371</v>
      </c>
      <c r="B68" s="2" t="n">
        <f aca="false">LEN(A68)-LEN(SUBSTITUTE(A68,",",""))+1</f>
        <v>1</v>
      </c>
      <c r="C68" s="2" t="s">
        <v>372</v>
      </c>
      <c r="D68" s="2" t="s">
        <v>373</v>
      </c>
      <c r="E68" s="2" t="s">
        <v>374</v>
      </c>
      <c r="F68" s="2" t="s">
        <v>375</v>
      </c>
      <c r="G68" s="2" t="s">
        <v>376</v>
      </c>
      <c r="H68" s="2"/>
      <c r="I68" s="2"/>
      <c r="J68" s="2"/>
      <c r="K68" s="2"/>
      <c r="L68" s="2"/>
      <c r="M68" s="2" t="s">
        <v>23</v>
      </c>
      <c r="N68" s="3" t="n">
        <v>1892</v>
      </c>
      <c r="O68" s="2" t="s">
        <v>46</v>
      </c>
      <c r="P68" s="2" t="s">
        <v>25</v>
      </c>
      <c r="Q68" s="2" t="s">
        <v>47</v>
      </c>
      <c r="R68" s="2"/>
    </row>
    <row r="69" customFormat="false" ht="15" hidden="false" customHeight="false" outlineLevel="0" collapsed="false">
      <c r="A69" s="2" t="s">
        <v>377</v>
      </c>
      <c r="B69" s="2" t="n">
        <f aca="false">LEN(A69)-LEN(SUBSTITUTE(A69,",",""))+1</f>
        <v>1</v>
      </c>
      <c r="C69" s="2" t="s">
        <v>378</v>
      </c>
      <c r="D69" s="2" t="s">
        <v>373</v>
      </c>
      <c r="E69" s="2" t="s">
        <v>374</v>
      </c>
      <c r="F69" s="2" t="s">
        <v>375</v>
      </c>
      <c r="G69" s="2" t="s">
        <v>376</v>
      </c>
      <c r="H69" s="2"/>
      <c r="I69" s="2"/>
      <c r="J69" s="2"/>
      <c r="K69" s="2"/>
      <c r="L69" s="2"/>
      <c r="M69" s="2" t="s">
        <v>23</v>
      </c>
      <c r="N69" s="3" t="n">
        <v>1892</v>
      </c>
      <c r="O69" s="2" t="s">
        <v>46</v>
      </c>
      <c r="P69" s="2" t="s">
        <v>25</v>
      </c>
      <c r="Q69" s="2" t="s">
        <v>47</v>
      </c>
      <c r="R69" s="2"/>
    </row>
    <row r="70" customFormat="false" ht="23.85" hidden="false" customHeight="false" outlineLevel="0" collapsed="false">
      <c r="A70" s="2" t="s">
        <v>379</v>
      </c>
      <c r="B70" s="2" t="n">
        <f aca="false">LEN(A70)-LEN(SUBSTITUTE(A70,",",""))+1</f>
        <v>1</v>
      </c>
      <c r="C70" s="2" t="s">
        <v>372</v>
      </c>
      <c r="D70" s="2" t="s">
        <v>380</v>
      </c>
      <c r="E70" s="2" t="s">
        <v>381</v>
      </c>
      <c r="F70" s="2" t="s">
        <v>382</v>
      </c>
      <c r="G70" s="2" t="s">
        <v>214</v>
      </c>
      <c r="H70" s="2"/>
      <c r="I70" s="2"/>
      <c r="J70" s="2"/>
      <c r="K70" s="2"/>
      <c r="L70" s="2"/>
      <c r="M70" s="2" t="s">
        <v>23</v>
      </c>
      <c r="N70" s="3" t="n">
        <v>305696</v>
      </c>
      <c r="O70" s="2" t="s">
        <v>33</v>
      </c>
      <c r="P70" s="2" t="s">
        <v>25</v>
      </c>
      <c r="Q70" s="2" t="s">
        <v>93</v>
      </c>
      <c r="R70" s="2"/>
    </row>
    <row r="71" customFormat="false" ht="15" hidden="false" customHeight="false" outlineLevel="0" collapsed="false">
      <c r="A71" s="2" t="s">
        <v>383</v>
      </c>
      <c r="B71" s="2" t="n">
        <f aca="false">LEN(A71)-LEN(SUBSTITUTE(A71,",",""))+1</f>
        <v>1</v>
      </c>
      <c r="C71" s="2" t="s">
        <v>384</v>
      </c>
      <c r="D71" s="2" t="s">
        <v>385</v>
      </c>
      <c r="E71" s="2" t="s">
        <v>386</v>
      </c>
      <c r="F71" s="2" t="s">
        <v>387</v>
      </c>
      <c r="G71" s="2" t="s">
        <v>388</v>
      </c>
      <c r="H71" s="2"/>
      <c r="I71" s="2"/>
      <c r="J71" s="2"/>
      <c r="K71" s="2"/>
      <c r="L71" s="2"/>
      <c r="M71" s="2" t="s">
        <v>23</v>
      </c>
      <c r="N71" s="3" t="n">
        <v>39</v>
      </c>
      <c r="O71" s="2" t="s">
        <v>46</v>
      </c>
      <c r="P71" s="2" t="s">
        <v>25</v>
      </c>
      <c r="Q71" s="2" t="s">
        <v>47</v>
      </c>
      <c r="R71" s="2" t="s">
        <v>389</v>
      </c>
    </row>
    <row r="72" customFormat="false" ht="23.85" hidden="false" customHeight="false" outlineLevel="0" collapsed="false">
      <c r="A72" s="2" t="s">
        <v>390</v>
      </c>
      <c r="B72" s="2" t="n">
        <f aca="false">LEN(A72)-LEN(SUBSTITUTE(A72,",",""))+1</f>
        <v>1</v>
      </c>
      <c r="C72" s="2" t="s">
        <v>391</v>
      </c>
      <c r="D72" s="2" t="s">
        <v>392</v>
      </c>
      <c r="E72" s="2" t="s">
        <v>393</v>
      </c>
      <c r="F72" s="2" t="s">
        <v>391</v>
      </c>
      <c r="G72" s="2" t="s">
        <v>394</v>
      </c>
      <c r="H72" s="2"/>
      <c r="I72" s="2"/>
      <c r="J72" s="2"/>
      <c r="K72" s="2"/>
      <c r="L72" s="2"/>
      <c r="M72" s="2" t="s">
        <v>23</v>
      </c>
      <c r="N72" s="3" t="n">
        <v>1457</v>
      </c>
      <c r="O72" s="2" t="s">
        <v>46</v>
      </c>
      <c r="P72" s="2" t="s">
        <v>25</v>
      </c>
      <c r="Q72" s="2" t="s">
        <v>93</v>
      </c>
      <c r="R72" s="2"/>
    </row>
    <row r="73" customFormat="false" ht="23.85" hidden="false" customHeight="false" outlineLevel="0" collapsed="false">
      <c r="A73" s="2" t="s">
        <v>395</v>
      </c>
      <c r="B73" s="2" t="n">
        <f aca="false">LEN(A73)-LEN(SUBSTITUTE(A73,",",""))+1</f>
        <v>1</v>
      </c>
      <c r="C73" s="2" t="s">
        <v>396</v>
      </c>
      <c r="D73" s="2" t="s">
        <v>397</v>
      </c>
      <c r="E73" s="2" t="s">
        <v>398</v>
      </c>
      <c r="F73" s="2" t="s">
        <v>396</v>
      </c>
      <c r="G73" s="2" t="s">
        <v>399</v>
      </c>
      <c r="H73" s="2"/>
      <c r="I73" s="2"/>
      <c r="J73" s="2"/>
      <c r="K73" s="2"/>
      <c r="L73" s="2"/>
      <c r="M73" s="2" t="s">
        <v>45</v>
      </c>
      <c r="N73" s="3" t="n">
        <v>1069998</v>
      </c>
      <c r="O73" s="2" t="s">
        <v>46</v>
      </c>
      <c r="P73" s="2" t="s">
        <v>25</v>
      </c>
      <c r="Q73" s="2" t="s">
        <v>93</v>
      </c>
      <c r="R73" s="2"/>
    </row>
    <row r="74" customFormat="false" ht="15" hidden="false" customHeight="false" outlineLevel="0" collapsed="false">
      <c r="A74" s="2" t="s">
        <v>400</v>
      </c>
      <c r="B74" s="2" t="n">
        <f aca="false">LEN(A74)-LEN(SUBSTITUTE(A74,",",""))+1</f>
        <v>1</v>
      </c>
      <c r="C74" s="2" t="s">
        <v>401</v>
      </c>
      <c r="D74" s="2" t="s">
        <v>402</v>
      </c>
      <c r="E74" s="2" t="s">
        <v>403</v>
      </c>
      <c r="F74" s="2" t="s">
        <v>401</v>
      </c>
      <c r="G74" s="2" t="s">
        <v>388</v>
      </c>
      <c r="H74" s="2"/>
      <c r="I74" s="2"/>
      <c r="J74" s="2"/>
      <c r="K74" s="2"/>
      <c r="L74" s="2"/>
      <c r="M74" s="2" t="s">
        <v>23</v>
      </c>
      <c r="N74" s="3" t="n">
        <v>2734</v>
      </c>
      <c r="O74" s="2" t="s">
        <v>46</v>
      </c>
      <c r="P74" s="2" t="s">
        <v>25</v>
      </c>
      <c r="Q74" s="2" t="s">
        <v>93</v>
      </c>
      <c r="R74" s="2"/>
    </row>
    <row r="75" customFormat="false" ht="15" hidden="false" customHeight="false" outlineLevel="0" collapsed="false">
      <c r="A75" s="2" t="s">
        <v>404</v>
      </c>
      <c r="B75" s="2" t="n">
        <f aca="false">LEN(A75)-LEN(SUBSTITUTE(A75,",",""))+1</f>
        <v>1</v>
      </c>
      <c r="C75" s="2" t="s">
        <v>405</v>
      </c>
      <c r="D75" s="2" t="s">
        <v>406</v>
      </c>
      <c r="E75" s="2" t="s">
        <v>407</v>
      </c>
      <c r="F75" s="2" t="s">
        <v>408</v>
      </c>
      <c r="G75" s="2" t="s">
        <v>394</v>
      </c>
      <c r="H75" s="2"/>
      <c r="I75" s="2"/>
      <c r="J75" s="2"/>
      <c r="K75" s="2"/>
      <c r="L75" s="2"/>
      <c r="M75" s="2" t="s">
        <v>23</v>
      </c>
      <c r="N75" s="3" t="n">
        <v>79374</v>
      </c>
      <c r="O75" s="2" t="s">
        <v>46</v>
      </c>
      <c r="P75" s="2" t="s">
        <v>25</v>
      </c>
      <c r="Q75" s="2" t="s">
        <v>93</v>
      </c>
      <c r="R75" s="2"/>
    </row>
    <row r="76" customFormat="false" ht="35.05" hidden="false" customHeight="false" outlineLevel="0" collapsed="false">
      <c r="A76" s="2" t="s">
        <v>409</v>
      </c>
      <c r="B76" s="2" t="n">
        <f aca="false">LEN(A76)-LEN(SUBSTITUTE(A76,",",""))+1</f>
        <v>1</v>
      </c>
      <c r="C76" s="2" t="s">
        <v>410</v>
      </c>
      <c r="D76" s="2" t="s">
        <v>411</v>
      </c>
      <c r="E76" s="2" t="s">
        <v>412</v>
      </c>
      <c r="F76" s="2" t="s">
        <v>410</v>
      </c>
      <c r="G76" s="2" t="s">
        <v>413</v>
      </c>
      <c r="H76" s="2"/>
      <c r="I76" s="2"/>
      <c r="J76" s="2"/>
      <c r="K76" s="2"/>
      <c r="L76" s="2"/>
      <c r="M76" s="2" t="s">
        <v>23</v>
      </c>
      <c r="N76" s="3" t="n">
        <v>4466</v>
      </c>
      <c r="O76" s="2" t="s">
        <v>46</v>
      </c>
      <c r="P76" s="2" t="s">
        <v>25</v>
      </c>
      <c r="Q76" s="2" t="s">
        <v>26</v>
      </c>
      <c r="R76" s="2"/>
    </row>
    <row r="77" customFormat="false" ht="23.85" hidden="false" customHeight="false" outlineLevel="0" collapsed="false">
      <c r="A77" s="2" t="s">
        <v>414</v>
      </c>
      <c r="B77" s="2" t="n">
        <f aca="false">LEN(A77)-LEN(SUBSTITUTE(A77,",",""))+1</f>
        <v>1</v>
      </c>
      <c r="C77" s="2" t="s">
        <v>415</v>
      </c>
      <c r="D77" s="2" t="s">
        <v>416</v>
      </c>
      <c r="E77" s="2" t="s">
        <v>417</v>
      </c>
      <c r="F77" s="2" t="s">
        <v>415</v>
      </c>
      <c r="G77" s="2" t="s">
        <v>418</v>
      </c>
      <c r="H77" s="2"/>
      <c r="I77" s="2"/>
      <c r="J77" s="2"/>
      <c r="K77" s="2"/>
      <c r="L77" s="2"/>
      <c r="M77" s="2" t="s">
        <v>23</v>
      </c>
      <c r="N77" s="3" t="n">
        <v>10579</v>
      </c>
      <c r="O77" s="2" t="s">
        <v>46</v>
      </c>
      <c r="P77" s="2" t="s">
        <v>25</v>
      </c>
      <c r="Q77" s="2" t="s">
        <v>26</v>
      </c>
      <c r="R77" s="2"/>
    </row>
    <row r="78" customFormat="false" ht="15" hidden="false" customHeight="false" outlineLevel="0" collapsed="false">
      <c r="A78" s="2" t="s">
        <v>419</v>
      </c>
      <c r="B78" s="2" t="n">
        <f aca="false">LEN(A78)-LEN(SUBSTITUTE(A78,",",""))+1</f>
        <v>1</v>
      </c>
      <c r="C78" s="2" t="s">
        <v>420</v>
      </c>
      <c r="D78" s="2" t="s">
        <v>421</v>
      </c>
      <c r="E78" s="2" t="s">
        <v>422</v>
      </c>
      <c r="F78" s="2" t="s">
        <v>423</v>
      </c>
      <c r="G78" s="2" t="s">
        <v>424</v>
      </c>
      <c r="H78" s="2"/>
      <c r="I78" s="2"/>
      <c r="J78" s="2"/>
      <c r="K78" s="2"/>
      <c r="L78" s="2"/>
      <c r="M78" s="2" t="s">
        <v>23</v>
      </c>
      <c r="N78" s="3" t="n">
        <v>661</v>
      </c>
      <c r="O78" s="2" t="s">
        <v>46</v>
      </c>
      <c r="P78" s="2" t="s">
        <v>25</v>
      </c>
      <c r="Q78" s="2" t="s">
        <v>26</v>
      </c>
      <c r="R78" s="2"/>
    </row>
    <row r="79" customFormat="false" ht="23.85" hidden="false" customHeight="false" outlineLevel="0" collapsed="false">
      <c r="A79" s="2" t="s">
        <v>425</v>
      </c>
      <c r="B79" s="2" t="n">
        <f aca="false">LEN(A79)-LEN(SUBSTITUTE(A79,",",""))+1</f>
        <v>1</v>
      </c>
      <c r="C79" s="2" t="s">
        <v>426</v>
      </c>
      <c r="D79" s="2" t="s">
        <v>416</v>
      </c>
      <c r="E79" s="2" t="s">
        <v>427</v>
      </c>
      <c r="F79" s="2" t="s">
        <v>426</v>
      </c>
      <c r="G79" s="2" t="s">
        <v>418</v>
      </c>
      <c r="H79" s="2"/>
      <c r="I79" s="2"/>
      <c r="J79" s="2"/>
      <c r="K79" s="2"/>
      <c r="L79" s="2"/>
      <c r="M79" s="2" t="s">
        <v>23</v>
      </c>
      <c r="N79" s="3" t="n">
        <v>74</v>
      </c>
      <c r="O79" s="2" t="s">
        <v>46</v>
      </c>
      <c r="P79" s="2" t="s">
        <v>25</v>
      </c>
      <c r="Q79" s="2" t="s">
        <v>26</v>
      </c>
      <c r="R79" s="2" t="s">
        <v>428</v>
      </c>
    </row>
    <row r="80" customFormat="false" ht="23.85" hidden="false" customHeight="false" outlineLevel="0" collapsed="false">
      <c r="A80" s="2" t="s">
        <v>429</v>
      </c>
      <c r="B80" s="2" t="n">
        <f aca="false">LEN(A80)-LEN(SUBSTITUTE(A80,",",""))+1</f>
        <v>1</v>
      </c>
      <c r="C80" s="2" t="s">
        <v>430</v>
      </c>
      <c r="D80" s="2" t="s">
        <v>431</v>
      </c>
      <c r="E80" s="2" t="s">
        <v>432</v>
      </c>
      <c r="F80" s="2" t="s">
        <v>430</v>
      </c>
      <c r="G80" s="2" t="s">
        <v>413</v>
      </c>
      <c r="H80" s="2"/>
      <c r="I80" s="2"/>
      <c r="J80" s="2"/>
      <c r="K80" s="2"/>
      <c r="L80" s="2"/>
      <c r="M80" s="2" t="s">
        <v>23</v>
      </c>
      <c r="N80" s="3" t="n">
        <v>3323</v>
      </c>
      <c r="O80" s="2" t="s">
        <v>46</v>
      </c>
      <c r="P80" s="2" t="s">
        <v>25</v>
      </c>
      <c r="Q80" s="2" t="s">
        <v>26</v>
      </c>
      <c r="R80" s="2"/>
    </row>
    <row r="81" customFormat="false" ht="23.85" hidden="false" customHeight="false" outlineLevel="0" collapsed="false">
      <c r="A81" s="2" t="s">
        <v>433</v>
      </c>
      <c r="B81" s="2" t="n">
        <f aca="false">LEN(A81)-LEN(SUBSTITUTE(A81,",",""))+1</f>
        <v>1</v>
      </c>
      <c r="C81" s="2" t="s">
        <v>434</v>
      </c>
      <c r="D81" s="2" t="s">
        <v>435</v>
      </c>
      <c r="E81" s="2" t="s">
        <v>436</v>
      </c>
      <c r="F81" s="2" t="s">
        <v>437</v>
      </c>
      <c r="G81" s="2" t="s">
        <v>438</v>
      </c>
      <c r="H81" s="2"/>
      <c r="I81" s="2"/>
      <c r="J81" s="2"/>
      <c r="K81" s="2"/>
      <c r="L81" s="2"/>
      <c r="M81" s="2" t="s">
        <v>23</v>
      </c>
      <c r="N81" s="3" t="n">
        <v>9922</v>
      </c>
      <c r="O81" s="2" t="s">
        <v>439</v>
      </c>
      <c r="P81" s="2" t="s">
        <v>25</v>
      </c>
      <c r="Q81" s="2" t="s">
        <v>440</v>
      </c>
      <c r="R81" s="2" t="s">
        <v>441</v>
      </c>
    </row>
    <row r="82" customFormat="false" ht="15" hidden="false" customHeight="false" outlineLevel="0" collapsed="false">
      <c r="A82" s="2" t="s">
        <v>442</v>
      </c>
      <c r="B82" s="2" t="n">
        <f aca="false">LEN(A82)-LEN(SUBSTITUTE(A82,",",""))+1</f>
        <v>1</v>
      </c>
      <c r="C82" s="2" t="s">
        <v>443</v>
      </c>
      <c r="D82" s="2" t="s">
        <v>444</v>
      </c>
      <c r="E82" s="2" t="s">
        <v>445</v>
      </c>
      <c r="F82" s="2" t="s">
        <v>446</v>
      </c>
      <c r="G82" s="2" t="s">
        <v>447</v>
      </c>
      <c r="H82" s="2"/>
      <c r="I82" s="2"/>
      <c r="J82" s="2"/>
      <c r="K82" s="2"/>
      <c r="L82" s="2"/>
      <c r="M82" s="2" t="s">
        <v>45</v>
      </c>
      <c r="N82" s="3" t="n">
        <v>198173</v>
      </c>
      <c r="O82" s="2" t="s">
        <v>46</v>
      </c>
      <c r="P82" s="2" t="s">
        <v>25</v>
      </c>
      <c r="Q82" s="2" t="s">
        <v>47</v>
      </c>
      <c r="R82" s="2" t="s">
        <v>448</v>
      </c>
    </row>
    <row r="83" customFormat="false" ht="23.85" hidden="false" customHeight="false" outlineLevel="0" collapsed="false">
      <c r="A83" s="2" t="s">
        <v>449</v>
      </c>
      <c r="B83" s="2" t="n">
        <f aca="false">LEN(A83)-LEN(SUBSTITUTE(A83,",",""))+1</f>
        <v>1</v>
      </c>
      <c r="C83" s="2" t="s">
        <v>450</v>
      </c>
      <c r="D83" s="2" t="s">
        <v>451</v>
      </c>
      <c r="E83" s="2" t="s">
        <v>452</v>
      </c>
      <c r="F83" s="2" t="s">
        <v>453</v>
      </c>
      <c r="G83" s="2" t="s">
        <v>454</v>
      </c>
      <c r="H83" s="2"/>
      <c r="I83" s="2"/>
      <c r="J83" s="2"/>
      <c r="K83" s="2"/>
      <c r="L83" s="2"/>
      <c r="M83" s="2" t="s">
        <v>23</v>
      </c>
      <c r="N83" s="3" t="n">
        <v>4075</v>
      </c>
      <c r="O83" s="2" t="s">
        <v>46</v>
      </c>
      <c r="P83" s="2" t="s">
        <v>25</v>
      </c>
      <c r="Q83" s="2" t="s">
        <v>47</v>
      </c>
      <c r="R83" s="2" t="s">
        <v>455</v>
      </c>
    </row>
    <row r="84" customFormat="false" ht="15" hidden="false" customHeight="false" outlineLevel="0" collapsed="false">
      <c r="A84" s="2"/>
      <c r="B84" s="2"/>
      <c r="C84" s="2"/>
      <c r="D84" s="2"/>
      <c r="E84" s="2"/>
      <c r="F84" s="2"/>
      <c r="G84" s="2"/>
      <c r="H84" s="2"/>
      <c r="I84" s="2"/>
      <c r="J84" s="2"/>
      <c r="K84" s="2"/>
      <c r="L84" s="2"/>
      <c r="M84" s="2"/>
      <c r="N84" s="2"/>
      <c r="O84" s="2"/>
      <c r="P84" s="2"/>
      <c r="Q84" s="2"/>
      <c r="R84" s="2"/>
    </row>
    <row r="85" customFormat="false" ht="15" hidden="false" customHeight="false" outlineLevel="0" collapsed="false">
      <c r="A85" s="4" t="s">
        <v>456</v>
      </c>
      <c r="B85" s="2" t="n">
        <f aca="false">SUM(B2:B83)</f>
        <v>148</v>
      </c>
      <c r="C85" s="2"/>
      <c r="D85" s="2"/>
      <c r="E85" s="2"/>
      <c r="F85" s="2"/>
      <c r="G85" s="2"/>
      <c r="H85" s="2"/>
      <c r="I85" s="2"/>
      <c r="J85" s="2"/>
      <c r="K85" s="2"/>
      <c r="L85" s="2"/>
      <c r="M85" s="2"/>
      <c r="N85" s="2"/>
      <c r="O85" s="2"/>
      <c r="P85" s="2"/>
      <c r="Q85" s="2"/>
      <c r="R85" s="2"/>
    </row>
    <row r="86" customFormat="false" ht="26.85" hidden="false" customHeight="false" outlineLevel="0" collapsed="false">
      <c r="A86" s="4" t="s">
        <v>457</v>
      </c>
      <c r="B86" s="2" t="n">
        <f aca="false">COUNTBLANK(E2:E83)</f>
        <v>0</v>
      </c>
      <c r="C86" s="2"/>
      <c r="D86" s="2"/>
      <c r="E86" s="2"/>
      <c r="F86" s="2"/>
      <c r="G86" s="2"/>
      <c r="H86" s="2"/>
      <c r="I86" s="2"/>
      <c r="J86" s="2"/>
      <c r="K86" s="2"/>
      <c r="L86" s="2"/>
      <c r="M86" s="2"/>
      <c r="N86" s="2"/>
      <c r="O86" s="2"/>
      <c r="P86" s="2"/>
      <c r="Q86" s="2"/>
      <c r="R86" s="2"/>
    </row>
    <row r="87" customFormat="false" ht="64.9" hidden="false" customHeight="false" outlineLevel="0" collapsed="false">
      <c r="A87" s="4" t="s">
        <v>458</v>
      </c>
      <c r="B87" s="2"/>
      <c r="C87" s="2"/>
      <c r="D87" s="2"/>
      <c r="E87" s="2"/>
      <c r="F87" s="2"/>
      <c r="G87" s="2"/>
      <c r="H87" s="2"/>
      <c r="I87" s="2"/>
      <c r="J87" s="2"/>
      <c r="K87" s="2"/>
      <c r="L87" s="2"/>
      <c r="M87" s="2"/>
      <c r="N87" s="2"/>
      <c r="O87" s="2"/>
      <c r="P87" s="2"/>
      <c r="Q87" s="2"/>
      <c r="R8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3" min="2" style="0" width="40"/>
    <col collapsed="false" customWidth="true" hidden="false" outlineLevel="0" max="4" min="4" style="0" width="14"/>
  </cols>
  <sheetData>
    <row r="1" customFormat="false" ht="15" hidden="false" customHeight="false" outlineLevel="0" collapsed="false">
      <c r="A1" s="1" t="s">
        <v>459</v>
      </c>
      <c r="B1" s="1" t="s">
        <v>460</v>
      </c>
      <c r="C1" s="1" t="s">
        <v>3</v>
      </c>
      <c r="D1" s="1" t="s">
        <v>461</v>
      </c>
    </row>
    <row r="2" customFormat="false" ht="15" hidden="false" customHeight="false" outlineLevel="0" collapsed="false">
      <c r="A2" s="2" t="s">
        <v>29</v>
      </c>
      <c r="B2" s="2" t="s">
        <v>28</v>
      </c>
      <c r="C2" s="2" t="s">
        <v>30</v>
      </c>
      <c r="D2" s="2" t="s">
        <v>31</v>
      </c>
    </row>
    <row r="3" customFormat="false" ht="15" hidden="false" customHeight="false" outlineLevel="0" collapsed="false">
      <c r="A3" s="2" t="s">
        <v>40</v>
      </c>
      <c r="B3" s="2" t="s">
        <v>462</v>
      </c>
      <c r="C3" s="2" t="s">
        <v>38</v>
      </c>
      <c r="D3" s="2" t="s">
        <v>39</v>
      </c>
    </row>
    <row r="4" customFormat="false" ht="15" hidden="false" customHeight="false" outlineLevel="0" collapsed="false">
      <c r="A4" s="2" t="s">
        <v>53</v>
      </c>
      <c r="B4" s="2" t="s">
        <v>49</v>
      </c>
      <c r="C4" s="2" t="s">
        <v>51</v>
      </c>
      <c r="D4" s="2" t="s">
        <v>52</v>
      </c>
    </row>
    <row r="5" customFormat="false" ht="23.85" hidden="false" customHeight="false" outlineLevel="0" collapsed="false">
      <c r="A5" s="2" t="s">
        <v>60</v>
      </c>
      <c r="B5" s="2" t="s">
        <v>463</v>
      </c>
      <c r="C5" s="2" t="s">
        <v>58</v>
      </c>
      <c r="D5" s="2" t="s">
        <v>59</v>
      </c>
    </row>
    <row r="6" customFormat="false" ht="15" hidden="false" customHeight="false" outlineLevel="0" collapsed="false">
      <c r="A6" s="2" t="s">
        <v>66</v>
      </c>
      <c r="B6" s="2" t="s">
        <v>63</v>
      </c>
      <c r="C6" s="2" t="s">
        <v>58</v>
      </c>
      <c r="D6" s="2" t="s">
        <v>65</v>
      </c>
    </row>
    <row r="7" customFormat="false" ht="15" hidden="false" customHeight="false" outlineLevel="0" collapsed="false">
      <c r="A7" s="2" t="s">
        <v>71</v>
      </c>
      <c r="B7" s="2" t="s">
        <v>464</v>
      </c>
      <c r="C7" s="2" t="s">
        <v>38</v>
      </c>
      <c r="D7" s="2" t="s">
        <v>70</v>
      </c>
    </row>
    <row r="8" customFormat="false" ht="15" hidden="false" customHeight="false" outlineLevel="0" collapsed="false">
      <c r="A8" s="2" t="s">
        <v>76</v>
      </c>
      <c r="B8" s="2" t="s">
        <v>465</v>
      </c>
      <c r="C8" s="2" t="s">
        <v>58</v>
      </c>
      <c r="D8" s="2" t="s">
        <v>75</v>
      </c>
    </row>
    <row r="9" customFormat="false" ht="15" hidden="false" customHeight="false" outlineLevel="0" collapsed="false">
      <c r="A9" s="2" t="s">
        <v>84</v>
      </c>
      <c r="B9" s="2" t="s">
        <v>466</v>
      </c>
      <c r="C9" s="2" t="s">
        <v>58</v>
      </c>
      <c r="D9" s="2" t="s">
        <v>83</v>
      </c>
    </row>
    <row r="10" customFormat="false" ht="15" hidden="false" customHeight="false" outlineLevel="0" collapsed="false">
      <c r="A10" s="2" t="s">
        <v>91</v>
      </c>
      <c r="B10" s="2" t="s">
        <v>88</v>
      </c>
      <c r="C10" s="2" t="s">
        <v>51</v>
      </c>
      <c r="D10" s="2" t="s">
        <v>90</v>
      </c>
    </row>
    <row r="11" customFormat="false" ht="15" hidden="false" customHeight="false" outlineLevel="0" collapsed="false">
      <c r="A11" s="2" t="s">
        <v>99</v>
      </c>
      <c r="B11" s="2" t="s">
        <v>95</v>
      </c>
      <c r="C11" s="2" t="s">
        <v>97</v>
      </c>
      <c r="D11" s="2" t="s">
        <v>98</v>
      </c>
    </row>
    <row r="12" customFormat="false" ht="15" hidden="false" customHeight="false" outlineLevel="0" collapsed="false">
      <c r="A12" s="2" t="s">
        <v>107</v>
      </c>
      <c r="B12" s="2" t="s">
        <v>104</v>
      </c>
      <c r="C12" s="2" t="s">
        <v>105</v>
      </c>
      <c r="D12" s="2" t="s">
        <v>106</v>
      </c>
    </row>
    <row r="13" customFormat="false" ht="15" hidden="false" customHeight="false" outlineLevel="0" collapsed="false">
      <c r="A13" s="2" t="s">
        <v>112</v>
      </c>
      <c r="B13" s="2" t="s">
        <v>467</v>
      </c>
      <c r="C13" s="2" t="s">
        <v>105</v>
      </c>
      <c r="D13" s="2" t="s">
        <v>111</v>
      </c>
    </row>
    <row r="14" customFormat="false" ht="15" hidden="false" customHeight="false" outlineLevel="0" collapsed="false">
      <c r="A14" s="2" t="s">
        <v>118</v>
      </c>
      <c r="B14" s="2" t="s">
        <v>468</v>
      </c>
      <c r="C14" s="2" t="s">
        <v>58</v>
      </c>
      <c r="D14" s="2" t="s">
        <v>117</v>
      </c>
    </row>
    <row r="15" customFormat="false" ht="15" hidden="false" customHeight="false" outlineLevel="0" collapsed="false">
      <c r="A15" s="2" t="s">
        <v>122</v>
      </c>
      <c r="B15" s="2" t="s">
        <v>469</v>
      </c>
      <c r="C15" s="2" t="s">
        <v>120</v>
      </c>
      <c r="D15" s="2" t="s">
        <v>121</v>
      </c>
    </row>
    <row r="16" customFormat="false" ht="15" hidden="false" customHeight="false" outlineLevel="0" collapsed="false">
      <c r="A16" s="2" t="s">
        <v>128</v>
      </c>
      <c r="B16" s="2" t="s">
        <v>126</v>
      </c>
      <c r="C16" s="2" t="s">
        <v>38</v>
      </c>
      <c r="D16" s="2" t="s">
        <v>127</v>
      </c>
    </row>
    <row r="17" customFormat="false" ht="15" hidden="false" customHeight="false" outlineLevel="0" collapsed="false">
      <c r="A17" s="2" t="s">
        <v>131</v>
      </c>
      <c r="B17" s="2" t="s">
        <v>129</v>
      </c>
      <c r="C17" s="2" t="s">
        <v>51</v>
      </c>
      <c r="D17" s="2" t="s">
        <v>130</v>
      </c>
    </row>
    <row r="18" customFormat="false" ht="15" hidden="false" customHeight="false" outlineLevel="0" collapsed="false">
      <c r="A18" s="2" t="s">
        <v>135</v>
      </c>
      <c r="B18" s="2" t="s">
        <v>470</v>
      </c>
      <c r="C18" s="2" t="s">
        <v>38</v>
      </c>
      <c r="D18" s="2" t="s">
        <v>134</v>
      </c>
    </row>
    <row r="19" customFormat="false" ht="15" hidden="false" customHeight="false" outlineLevel="0" collapsed="false">
      <c r="A19" s="2" t="s">
        <v>142</v>
      </c>
      <c r="B19" s="2" t="s">
        <v>471</v>
      </c>
      <c r="C19" s="2" t="s">
        <v>140</v>
      </c>
      <c r="D19" s="2" t="s">
        <v>141</v>
      </c>
    </row>
    <row r="20" customFormat="false" ht="15" hidden="false" customHeight="false" outlineLevel="0" collapsed="false">
      <c r="A20" s="2" t="s">
        <v>148</v>
      </c>
      <c r="B20" s="2" t="s">
        <v>147</v>
      </c>
      <c r="C20" s="2" t="s">
        <v>149</v>
      </c>
      <c r="D20" s="2" t="s">
        <v>150</v>
      </c>
    </row>
    <row r="21" customFormat="false" ht="15" hidden="false" customHeight="false" outlineLevel="0" collapsed="false">
      <c r="A21" s="2" t="s">
        <v>156</v>
      </c>
      <c r="B21" s="2" t="s">
        <v>152</v>
      </c>
      <c r="C21" s="2" t="s">
        <v>154</v>
      </c>
      <c r="D21" s="2" t="s">
        <v>155</v>
      </c>
    </row>
    <row r="22" customFormat="false" ht="15" hidden="false" customHeight="false" outlineLevel="0" collapsed="false">
      <c r="A22" s="2" t="s">
        <v>163</v>
      </c>
      <c r="B22" s="2" t="s">
        <v>472</v>
      </c>
      <c r="C22" s="2" t="s">
        <v>161</v>
      </c>
      <c r="D22" s="2" t="s">
        <v>162</v>
      </c>
    </row>
    <row r="23" customFormat="false" ht="15" hidden="false" customHeight="false" outlineLevel="0" collapsed="false">
      <c r="A23" s="2" t="s">
        <v>175</v>
      </c>
      <c r="B23" s="2" t="s">
        <v>473</v>
      </c>
      <c r="C23" s="2" t="s">
        <v>173</v>
      </c>
      <c r="D23" s="2" t="s">
        <v>174</v>
      </c>
    </row>
    <row r="24" customFormat="false" ht="15" hidden="false" customHeight="false" outlineLevel="0" collapsed="false">
      <c r="A24" s="2" t="s">
        <v>177</v>
      </c>
      <c r="B24" s="2" t="s">
        <v>474</v>
      </c>
      <c r="C24" s="2" t="s">
        <v>178</v>
      </c>
      <c r="D24" s="2" t="s">
        <v>179</v>
      </c>
    </row>
    <row r="25" customFormat="false" ht="15" hidden="false" customHeight="false" outlineLevel="0" collapsed="false">
      <c r="A25" s="2" t="s">
        <v>182</v>
      </c>
      <c r="B25" s="2" t="s">
        <v>475</v>
      </c>
      <c r="C25" s="2" t="s">
        <v>183</v>
      </c>
      <c r="D25" s="2" t="s">
        <v>184</v>
      </c>
    </row>
    <row r="26" customFormat="false" ht="15" hidden="false" customHeight="false" outlineLevel="0" collapsed="false">
      <c r="A26" s="2" t="s">
        <v>189</v>
      </c>
      <c r="B26" s="2" t="s">
        <v>185</v>
      </c>
      <c r="C26" s="2" t="s">
        <v>187</v>
      </c>
      <c r="D26" s="2" t="s">
        <v>188</v>
      </c>
    </row>
    <row r="27" customFormat="false" ht="15" hidden="false" customHeight="false" outlineLevel="0" collapsed="false">
      <c r="A27" s="2" t="s">
        <v>192</v>
      </c>
      <c r="B27" s="2" t="s">
        <v>191</v>
      </c>
      <c r="C27" s="2" t="s">
        <v>193</v>
      </c>
      <c r="D27" s="2" t="s">
        <v>194</v>
      </c>
    </row>
    <row r="28" customFormat="false" ht="15" hidden="false" customHeight="false" outlineLevel="0" collapsed="false">
      <c r="A28" s="2" t="s">
        <v>200</v>
      </c>
      <c r="B28" s="2" t="s">
        <v>196</v>
      </c>
      <c r="C28" s="2" t="s">
        <v>198</v>
      </c>
      <c r="D28" s="2" t="s">
        <v>199</v>
      </c>
    </row>
    <row r="29" customFormat="false" ht="15" hidden="false" customHeight="false" outlineLevel="0" collapsed="false">
      <c r="A29" s="2" t="s">
        <v>207</v>
      </c>
      <c r="B29" s="2" t="s">
        <v>203</v>
      </c>
      <c r="C29" s="2" t="s">
        <v>205</v>
      </c>
      <c r="D29" s="2" t="s">
        <v>206</v>
      </c>
    </row>
    <row r="30" customFormat="false" ht="15" hidden="false" customHeight="false" outlineLevel="0" collapsed="false">
      <c r="A30" s="2" t="s">
        <v>222</v>
      </c>
      <c r="B30" s="2" t="s">
        <v>218</v>
      </c>
      <c r="C30" s="2" t="s">
        <v>220</v>
      </c>
      <c r="D30" s="2" t="s">
        <v>221</v>
      </c>
    </row>
    <row r="31" customFormat="false" ht="23.85" hidden="false" customHeight="false" outlineLevel="0" collapsed="false">
      <c r="A31" s="2" t="s">
        <v>229</v>
      </c>
      <c r="B31" s="2" t="s">
        <v>225</v>
      </c>
      <c r="C31" s="2" t="s">
        <v>227</v>
      </c>
      <c r="D31" s="2" t="s">
        <v>228</v>
      </c>
    </row>
    <row r="32" customFormat="false" ht="23.85" hidden="false" customHeight="false" outlineLevel="0" collapsed="false">
      <c r="A32" s="2" t="s">
        <v>235</v>
      </c>
      <c r="B32" s="2" t="s">
        <v>476</v>
      </c>
      <c r="C32" s="2" t="s">
        <v>233</v>
      </c>
      <c r="D32" s="2" t="s">
        <v>234</v>
      </c>
    </row>
    <row r="33" customFormat="false" ht="15" hidden="false" customHeight="false" outlineLevel="0" collapsed="false">
      <c r="A33" s="2" t="s">
        <v>239</v>
      </c>
      <c r="B33" s="2" t="s">
        <v>477</v>
      </c>
      <c r="C33" s="2" t="s">
        <v>237</v>
      </c>
      <c r="D33" s="2" t="s">
        <v>238</v>
      </c>
    </row>
    <row r="34" customFormat="false" ht="15" hidden="false" customHeight="false" outlineLevel="0" collapsed="false">
      <c r="A34" s="2" t="s">
        <v>246</v>
      </c>
      <c r="B34" s="2" t="s">
        <v>478</v>
      </c>
      <c r="C34" s="2" t="s">
        <v>244</v>
      </c>
      <c r="D34" s="2" t="s">
        <v>245</v>
      </c>
    </row>
    <row r="35" customFormat="false" ht="23.85" hidden="false" customHeight="false" outlineLevel="0" collapsed="false">
      <c r="A35" s="2" t="s">
        <v>256</v>
      </c>
      <c r="B35" s="2" t="s">
        <v>259</v>
      </c>
      <c r="C35" s="2" t="s">
        <v>254</v>
      </c>
      <c r="D35" s="2" t="s">
        <v>255</v>
      </c>
    </row>
    <row r="36" customFormat="false" ht="15" hidden="false" customHeight="false" outlineLevel="0" collapsed="false">
      <c r="A36" s="2" t="s">
        <v>265</v>
      </c>
      <c r="B36" s="2" t="s">
        <v>261</v>
      </c>
      <c r="C36" s="2" t="s">
        <v>263</v>
      </c>
      <c r="D36" s="2" t="s">
        <v>264</v>
      </c>
    </row>
    <row r="37" customFormat="false" ht="15" hidden="false" customHeight="false" outlineLevel="0" collapsed="false">
      <c r="A37" s="2" t="s">
        <v>270</v>
      </c>
      <c r="B37" s="2" t="s">
        <v>269</v>
      </c>
      <c r="C37" s="2" t="s">
        <v>271</v>
      </c>
      <c r="D37" s="2" t="s">
        <v>272</v>
      </c>
    </row>
    <row r="38" customFormat="false" ht="15" hidden="false" customHeight="false" outlineLevel="0" collapsed="false">
      <c r="A38" s="2" t="s">
        <v>275</v>
      </c>
      <c r="B38" s="2" t="s">
        <v>479</v>
      </c>
      <c r="C38" s="2" t="s">
        <v>276</v>
      </c>
      <c r="D38" s="2" t="s">
        <v>277</v>
      </c>
    </row>
    <row r="39" customFormat="false" ht="15" hidden="false" customHeight="false" outlineLevel="0" collapsed="false">
      <c r="A39" s="2" t="s">
        <v>281</v>
      </c>
      <c r="B39" s="2" t="s">
        <v>480</v>
      </c>
      <c r="C39" s="2" t="s">
        <v>271</v>
      </c>
      <c r="D39" s="2" t="s">
        <v>280</v>
      </c>
    </row>
    <row r="40" customFormat="false" ht="15" hidden="false" customHeight="false" outlineLevel="0" collapsed="false">
      <c r="A40" s="2" t="s">
        <v>287</v>
      </c>
      <c r="B40" s="2" t="s">
        <v>481</v>
      </c>
      <c r="C40" s="2" t="s">
        <v>285</v>
      </c>
      <c r="D40" s="2" t="s">
        <v>286</v>
      </c>
    </row>
    <row r="41" customFormat="false" ht="15" hidden="false" customHeight="false" outlineLevel="0" collapsed="false">
      <c r="A41" s="2" t="s">
        <v>296</v>
      </c>
      <c r="B41" s="2" t="s">
        <v>292</v>
      </c>
      <c r="C41" s="2" t="s">
        <v>294</v>
      </c>
      <c r="D41" s="2" t="s">
        <v>295</v>
      </c>
    </row>
    <row r="42" customFormat="false" ht="15" hidden="false" customHeight="false" outlineLevel="0" collapsed="false">
      <c r="A42" s="2" t="s">
        <v>300</v>
      </c>
      <c r="B42" s="2" t="s">
        <v>482</v>
      </c>
      <c r="C42" s="2" t="s">
        <v>294</v>
      </c>
      <c r="D42" s="2" t="s">
        <v>299</v>
      </c>
    </row>
    <row r="43" customFormat="false" ht="15" hidden="false" customHeight="false" outlineLevel="0" collapsed="false">
      <c r="A43" s="2" t="s">
        <v>304</v>
      </c>
      <c r="B43" s="2" t="s">
        <v>301</v>
      </c>
      <c r="C43" s="2" t="s">
        <v>285</v>
      </c>
      <c r="D43" s="2" t="s">
        <v>303</v>
      </c>
    </row>
    <row r="44" customFormat="false" ht="15" hidden="false" customHeight="false" outlineLevel="0" collapsed="false">
      <c r="A44" s="2" t="s">
        <v>308</v>
      </c>
      <c r="B44" s="2" t="s">
        <v>483</v>
      </c>
      <c r="C44" s="2" t="s">
        <v>294</v>
      </c>
      <c r="D44" s="2" t="s">
        <v>307</v>
      </c>
    </row>
    <row r="45" customFormat="false" ht="15" hidden="false" customHeight="false" outlineLevel="0" collapsed="false">
      <c r="A45" s="2" t="s">
        <v>312</v>
      </c>
      <c r="B45" s="2" t="s">
        <v>484</v>
      </c>
      <c r="C45" s="2" t="s">
        <v>294</v>
      </c>
      <c r="D45" s="2" t="s">
        <v>311</v>
      </c>
    </row>
    <row r="46" customFormat="false" ht="15" hidden="false" customHeight="false" outlineLevel="0" collapsed="false">
      <c r="A46" s="2" t="s">
        <v>317</v>
      </c>
      <c r="B46" s="2" t="s">
        <v>314</v>
      </c>
      <c r="C46" s="2" t="s">
        <v>294</v>
      </c>
      <c r="D46" s="2" t="s">
        <v>316</v>
      </c>
    </row>
    <row r="47" customFormat="false" ht="15" hidden="false" customHeight="false" outlineLevel="0" collapsed="false">
      <c r="A47" s="2" t="s">
        <v>322</v>
      </c>
      <c r="B47" s="2" t="s">
        <v>319</v>
      </c>
      <c r="C47" s="2" t="s">
        <v>294</v>
      </c>
      <c r="D47" s="2" t="s">
        <v>321</v>
      </c>
    </row>
    <row r="48" customFormat="false" ht="23.85" hidden="false" customHeight="false" outlineLevel="0" collapsed="false">
      <c r="A48" s="2" t="s">
        <v>325</v>
      </c>
      <c r="B48" s="2" t="s">
        <v>485</v>
      </c>
      <c r="C48" s="2" t="s">
        <v>294</v>
      </c>
      <c r="D48" s="2" t="s">
        <v>324</v>
      </c>
    </row>
    <row r="49" customFormat="false" ht="15" hidden="false" customHeight="false" outlineLevel="0" collapsed="false">
      <c r="A49" s="2" t="s">
        <v>329</v>
      </c>
      <c r="B49" s="2" t="s">
        <v>326</v>
      </c>
      <c r="C49" s="2" t="s">
        <v>294</v>
      </c>
      <c r="D49" s="2" t="s">
        <v>328</v>
      </c>
    </row>
    <row r="50" customFormat="false" ht="15" hidden="false" customHeight="false" outlineLevel="0" collapsed="false">
      <c r="A50" s="2" t="s">
        <v>334</v>
      </c>
      <c r="B50" s="2" t="s">
        <v>486</v>
      </c>
      <c r="C50" s="2" t="s">
        <v>294</v>
      </c>
      <c r="D50" s="2" t="s">
        <v>333</v>
      </c>
    </row>
    <row r="51" customFormat="false" ht="15" hidden="false" customHeight="false" outlineLevel="0" collapsed="false">
      <c r="A51" s="2" t="s">
        <v>338</v>
      </c>
      <c r="B51" s="2" t="s">
        <v>487</v>
      </c>
      <c r="C51" s="2" t="s">
        <v>294</v>
      </c>
      <c r="D51" s="2" t="s">
        <v>337</v>
      </c>
    </row>
    <row r="52" customFormat="false" ht="15" hidden="false" customHeight="false" outlineLevel="0" collapsed="false">
      <c r="A52" s="2" t="s">
        <v>342</v>
      </c>
      <c r="B52" s="2" t="s">
        <v>488</v>
      </c>
      <c r="C52" s="2" t="s">
        <v>294</v>
      </c>
      <c r="D52" s="2" t="s">
        <v>341</v>
      </c>
    </row>
    <row r="53" customFormat="false" ht="15" hidden="false" customHeight="false" outlineLevel="0" collapsed="false">
      <c r="A53" s="2" t="s">
        <v>346</v>
      </c>
      <c r="B53" s="2" t="s">
        <v>489</v>
      </c>
      <c r="C53" s="2" t="s">
        <v>294</v>
      </c>
      <c r="D53" s="2" t="s">
        <v>345</v>
      </c>
    </row>
    <row r="54" customFormat="false" ht="15" hidden="false" customHeight="false" outlineLevel="0" collapsed="false">
      <c r="A54" s="2" t="s">
        <v>350</v>
      </c>
      <c r="B54" s="2" t="s">
        <v>347</v>
      </c>
      <c r="C54" s="2" t="s">
        <v>294</v>
      </c>
      <c r="D54" s="2" t="s">
        <v>349</v>
      </c>
    </row>
    <row r="55" customFormat="false" ht="15" hidden="false" customHeight="false" outlineLevel="0" collapsed="false">
      <c r="A55" s="2" t="s">
        <v>353</v>
      </c>
      <c r="B55" s="2" t="s">
        <v>490</v>
      </c>
      <c r="C55" s="2" t="s">
        <v>285</v>
      </c>
      <c r="D55" s="2" t="s">
        <v>352</v>
      </c>
    </row>
    <row r="56" customFormat="false" ht="15" hidden="false" customHeight="false" outlineLevel="0" collapsed="false">
      <c r="A56" s="2" t="s">
        <v>359</v>
      </c>
      <c r="B56" s="2" t="s">
        <v>491</v>
      </c>
      <c r="C56" s="2" t="s">
        <v>357</v>
      </c>
      <c r="D56" s="2" t="s">
        <v>358</v>
      </c>
    </row>
    <row r="57" customFormat="false" ht="15" hidden="false" customHeight="false" outlineLevel="0" collapsed="false">
      <c r="A57" s="2" t="s">
        <v>366</v>
      </c>
      <c r="B57" s="2" t="s">
        <v>492</v>
      </c>
      <c r="C57" s="2" t="s">
        <v>294</v>
      </c>
      <c r="D57" s="2" t="s">
        <v>365</v>
      </c>
    </row>
    <row r="58" customFormat="false" ht="15" hidden="false" customHeight="false" outlineLevel="0" collapsed="false">
      <c r="A58" s="2" t="s">
        <v>370</v>
      </c>
      <c r="B58" s="2" t="s">
        <v>493</v>
      </c>
      <c r="C58" s="2" t="s">
        <v>294</v>
      </c>
      <c r="D58" s="2" t="s">
        <v>369</v>
      </c>
    </row>
    <row r="59" customFormat="false" ht="15" hidden="false" customHeight="false" outlineLevel="0" collapsed="false">
      <c r="A59" s="2" t="s">
        <v>375</v>
      </c>
      <c r="B59" s="2" t="s">
        <v>494</v>
      </c>
      <c r="C59" s="2" t="s">
        <v>373</v>
      </c>
      <c r="D59" s="2" t="s">
        <v>374</v>
      </c>
    </row>
    <row r="60" customFormat="false" ht="15" hidden="false" customHeight="false" outlineLevel="0" collapsed="false">
      <c r="A60" s="2" t="s">
        <v>382</v>
      </c>
      <c r="B60" s="2" t="s">
        <v>379</v>
      </c>
      <c r="C60" s="2" t="s">
        <v>380</v>
      </c>
      <c r="D60" s="2" t="s">
        <v>381</v>
      </c>
    </row>
    <row r="61" customFormat="false" ht="15" hidden="false" customHeight="false" outlineLevel="0" collapsed="false">
      <c r="A61" s="2" t="s">
        <v>387</v>
      </c>
      <c r="B61" s="2" t="s">
        <v>383</v>
      </c>
      <c r="C61" s="2" t="s">
        <v>385</v>
      </c>
      <c r="D61" s="2" t="s">
        <v>386</v>
      </c>
    </row>
    <row r="62" customFormat="false" ht="15" hidden="false" customHeight="false" outlineLevel="0" collapsed="false">
      <c r="A62" s="2" t="s">
        <v>391</v>
      </c>
      <c r="B62" s="2" t="s">
        <v>390</v>
      </c>
      <c r="C62" s="2" t="s">
        <v>392</v>
      </c>
      <c r="D62" s="2" t="s">
        <v>393</v>
      </c>
    </row>
    <row r="63" customFormat="false" ht="15" hidden="false" customHeight="false" outlineLevel="0" collapsed="false">
      <c r="A63" s="2" t="s">
        <v>396</v>
      </c>
      <c r="B63" s="2" t="s">
        <v>395</v>
      </c>
      <c r="C63" s="2" t="s">
        <v>397</v>
      </c>
      <c r="D63" s="2" t="s">
        <v>398</v>
      </c>
    </row>
    <row r="64" customFormat="false" ht="15" hidden="false" customHeight="false" outlineLevel="0" collapsed="false">
      <c r="A64" s="2" t="s">
        <v>401</v>
      </c>
      <c r="B64" s="2" t="s">
        <v>400</v>
      </c>
      <c r="C64" s="2" t="s">
        <v>402</v>
      </c>
      <c r="D64" s="2" t="s">
        <v>403</v>
      </c>
    </row>
    <row r="65" customFormat="false" ht="15" hidden="false" customHeight="false" outlineLevel="0" collapsed="false">
      <c r="A65" s="2" t="s">
        <v>408</v>
      </c>
      <c r="B65" s="2" t="s">
        <v>404</v>
      </c>
      <c r="C65" s="2" t="s">
        <v>406</v>
      </c>
      <c r="D65" s="2" t="s">
        <v>407</v>
      </c>
    </row>
    <row r="66" customFormat="false" ht="23.85" hidden="false" customHeight="false" outlineLevel="0" collapsed="false">
      <c r="A66" s="2" t="s">
        <v>410</v>
      </c>
      <c r="B66" s="2" t="s">
        <v>409</v>
      </c>
      <c r="C66" s="2" t="s">
        <v>411</v>
      </c>
      <c r="D66" s="2" t="s">
        <v>412</v>
      </c>
    </row>
    <row r="67" customFormat="false" ht="15" hidden="false" customHeight="false" outlineLevel="0" collapsed="false">
      <c r="A67" s="2" t="s">
        <v>415</v>
      </c>
      <c r="B67" s="2" t="s">
        <v>414</v>
      </c>
      <c r="C67" s="2" t="s">
        <v>416</v>
      </c>
      <c r="D67" s="2" t="s">
        <v>417</v>
      </c>
    </row>
    <row r="68" customFormat="false" ht="15" hidden="false" customHeight="false" outlineLevel="0" collapsed="false">
      <c r="A68" s="2" t="s">
        <v>423</v>
      </c>
      <c r="B68" s="2" t="s">
        <v>419</v>
      </c>
      <c r="C68" s="2" t="s">
        <v>421</v>
      </c>
      <c r="D68" s="2" t="s">
        <v>422</v>
      </c>
    </row>
    <row r="69" customFormat="false" ht="15" hidden="false" customHeight="false" outlineLevel="0" collapsed="false">
      <c r="A69" s="2" t="s">
        <v>426</v>
      </c>
      <c r="B69" s="2" t="s">
        <v>425</v>
      </c>
      <c r="C69" s="2" t="s">
        <v>416</v>
      </c>
      <c r="D69" s="2" t="s">
        <v>427</v>
      </c>
    </row>
    <row r="70" customFormat="false" ht="15" hidden="false" customHeight="false" outlineLevel="0" collapsed="false">
      <c r="A70" s="2" t="s">
        <v>430</v>
      </c>
      <c r="B70" s="2" t="s">
        <v>429</v>
      </c>
      <c r="C70" s="2" t="s">
        <v>431</v>
      </c>
      <c r="D70" s="2" t="s">
        <v>432</v>
      </c>
    </row>
    <row r="71" customFormat="false" ht="15" hidden="false" customHeight="false" outlineLevel="0" collapsed="false">
      <c r="A71" s="2" t="s">
        <v>446</v>
      </c>
      <c r="B71" s="2" t="s">
        <v>442</v>
      </c>
      <c r="C71" s="2" t="s">
        <v>444</v>
      </c>
      <c r="D71" s="2" t="s">
        <v>445</v>
      </c>
    </row>
    <row r="72" customFormat="false" ht="15" hidden="false" customHeight="false" outlineLevel="0" collapsed="false">
      <c r="A72" s="2" t="s">
        <v>453</v>
      </c>
      <c r="B72" s="2" t="s">
        <v>449</v>
      </c>
      <c r="C72" s="2" t="s">
        <v>451</v>
      </c>
      <c r="D72" s="2"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8"/>
    <col collapsed="false" customWidth="true" hidden="false" outlineLevel="0" max="4" min="4" style="0" width="34"/>
    <col collapsed="false" customWidth="true" hidden="false" outlineLevel="0" max="5" min="5" style="0" width="6"/>
    <col collapsed="false" customWidth="true" hidden="false" outlineLevel="0" max="6" min="6" style="0" width="70"/>
  </cols>
  <sheetData>
    <row r="1" customFormat="false" ht="15" hidden="false" customHeight="false" outlineLevel="0" collapsed="false">
      <c r="A1" s="1" t="s">
        <v>495</v>
      </c>
      <c r="B1" s="1" t="s">
        <v>460</v>
      </c>
      <c r="C1" s="1" t="s">
        <v>4</v>
      </c>
      <c r="D1" s="1" t="s">
        <v>5</v>
      </c>
      <c r="E1" s="1" t="s">
        <v>1</v>
      </c>
      <c r="F1" s="1" t="s">
        <v>496</v>
      </c>
    </row>
    <row r="2" customFormat="false" ht="15" hidden="false" customHeight="false" outlineLevel="0" collapsed="false">
      <c r="A2" s="2" t="s">
        <v>497</v>
      </c>
      <c r="B2" s="2" t="s">
        <v>252</v>
      </c>
      <c r="C2" s="2" t="s">
        <v>255</v>
      </c>
      <c r="D2" s="2" t="s">
        <v>256</v>
      </c>
      <c r="E2" s="2" t="n">
        <v>1</v>
      </c>
      <c r="F2" s="2" t="s">
        <v>498</v>
      </c>
    </row>
    <row r="3" customFormat="false" ht="15" hidden="false" customHeight="false" outlineLevel="0" collapsed="false">
      <c r="A3" s="2" t="s">
        <v>499</v>
      </c>
      <c r="B3" s="2" t="s">
        <v>209</v>
      </c>
      <c r="C3" s="2" t="s">
        <v>212</v>
      </c>
      <c r="D3" s="2" t="s">
        <v>213</v>
      </c>
      <c r="E3" s="2" t="n">
        <v>1</v>
      </c>
      <c r="F3" s="2" t="s">
        <v>500</v>
      </c>
    </row>
    <row r="4" customFormat="false" ht="23.85" hidden="false" customHeight="false" outlineLevel="0" collapsed="false">
      <c r="A4" s="2" t="s">
        <v>501</v>
      </c>
      <c r="B4" s="2" t="s">
        <v>502</v>
      </c>
      <c r="C4" s="2" t="s">
        <v>503</v>
      </c>
      <c r="D4" s="2" t="s">
        <v>504</v>
      </c>
      <c r="E4" s="2" t="n">
        <v>2</v>
      </c>
      <c r="F4" s="2" t="s">
        <v>505</v>
      </c>
    </row>
    <row r="5" customFormat="false" ht="15" hidden="false" customHeight="false" outlineLevel="0" collapsed="false">
      <c r="A5" s="2" t="s">
        <v>506</v>
      </c>
      <c r="B5" s="2" t="s">
        <v>507</v>
      </c>
      <c r="C5" s="2"/>
      <c r="D5" s="2" t="s">
        <v>508</v>
      </c>
      <c r="E5" s="2" t="n">
        <v>1</v>
      </c>
      <c r="F5" s="2" t="s">
        <v>509</v>
      </c>
    </row>
    <row r="6" customFormat="false" ht="15" hidden="false" customHeight="false" outlineLevel="0" collapsed="false">
      <c r="A6" s="2" t="s">
        <v>510</v>
      </c>
      <c r="B6" s="2" t="s">
        <v>18</v>
      </c>
      <c r="C6" s="2" t="s">
        <v>21</v>
      </c>
      <c r="D6" s="2" t="s">
        <v>19</v>
      </c>
      <c r="E6" s="2" t="n">
        <v>1</v>
      </c>
      <c r="F6" s="2" t="s">
        <v>511</v>
      </c>
    </row>
    <row r="7" customFormat="false" ht="15" hidden="false" customHeight="false" outlineLevel="0" collapsed="false">
      <c r="A7" s="2" t="s">
        <v>512</v>
      </c>
      <c r="B7" s="2" t="s">
        <v>433</v>
      </c>
      <c r="C7" s="2" t="s">
        <v>513</v>
      </c>
      <c r="D7" s="2" t="s">
        <v>514</v>
      </c>
      <c r="E7" s="2" t="n">
        <v>1</v>
      </c>
      <c r="F7" s="2" t="s">
        <v>515</v>
      </c>
    </row>
    <row r="8" customFormat="false" ht="15" hidden="false" customHeight="false" outlineLevel="0" collapsed="false">
      <c r="A8" s="2" t="s">
        <v>516</v>
      </c>
      <c r="B8" s="2" t="s">
        <v>517</v>
      </c>
      <c r="C8" s="2"/>
      <c r="D8" s="2" t="s">
        <v>518</v>
      </c>
      <c r="E8" s="2" t="n">
        <v>2</v>
      </c>
      <c r="F8" s="2" t="s">
        <v>519</v>
      </c>
    </row>
    <row r="9" customFormat="false" ht="15" hidden="false" customHeight="false" outlineLevel="0" collapsed="false">
      <c r="A9" s="2" t="s">
        <v>520</v>
      </c>
      <c r="B9" s="2" t="s">
        <v>521</v>
      </c>
      <c r="C9" s="2"/>
      <c r="D9" s="2" t="s">
        <v>522</v>
      </c>
      <c r="E9" s="2" t="n">
        <v>4</v>
      </c>
      <c r="F9" s="2" t="s">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80"/>
  </cols>
  <sheetData>
    <row r="1" customFormat="false" ht="15" hidden="false" customHeight="false" outlineLevel="0" collapsed="false">
      <c r="A1" s="1" t="s">
        <v>524</v>
      </c>
      <c r="B1" s="1" t="s">
        <v>525</v>
      </c>
      <c r="C1" s="1" t="s">
        <v>526</v>
      </c>
    </row>
    <row r="2" customFormat="false" ht="35.05" hidden="false" customHeight="false" outlineLevel="0" collapsed="false">
      <c r="A2" s="2" t="s">
        <v>527</v>
      </c>
      <c r="B2" s="2" t="s">
        <v>528</v>
      </c>
      <c r="C2" s="2" t="s">
        <v>529</v>
      </c>
    </row>
    <row r="3" customFormat="false" ht="35.05" hidden="false" customHeight="false" outlineLevel="0" collapsed="false">
      <c r="A3" s="2" t="s">
        <v>530</v>
      </c>
      <c r="B3" s="2" t="s">
        <v>531</v>
      </c>
      <c r="C3" s="2" t="s">
        <v>532</v>
      </c>
    </row>
    <row r="4" customFormat="false" ht="23.85" hidden="false" customHeight="false" outlineLevel="0" collapsed="false">
      <c r="A4" s="2" t="s">
        <v>533</v>
      </c>
      <c r="B4" s="2" t="s">
        <v>534</v>
      </c>
      <c r="C4" s="2" t="s">
        <v>535</v>
      </c>
    </row>
    <row r="5" customFormat="false" ht="23.85" hidden="false" customHeight="false" outlineLevel="0" collapsed="false">
      <c r="A5" s="2" t="s">
        <v>536</v>
      </c>
      <c r="B5" s="2" t="s">
        <v>537</v>
      </c>
      <c r="C5" s="2" t="s">
        <v>538</v>
      </c>
    </row>
    <row r="6" customFormat="false" ht="46.25" hidden="false" customHeight="false" outlineLevel="0" collapsed="false">
      <c r="A6" s="2" t="s">
        <v>539</v>
      </c>
      <c r="B6" s="2" t="s">
        <v>540</v>
      </c>
      <c r="C6" s="2" t="s">
        <v>541</v>
      </c>
    </row>
    <row r="7" customFormat="false" ht="46.25" hidden="false" customHeight="false" outlineLevel="0" collapsed="false">
      <c r="A7" s="2" t="s">
        <v>542</v>
      </c>
      <c r="B7" s="2" t="s">
        <v>543</v>
      </c>
      <c r="C7" s="2" t="s">
        <v>544</v>
      </c>
    </row>
    <row r="8" customFormat="false" ht="35.05" hidden="false" customHeight="false" outlineLevel="0" collapsed="false">
      <c r="A8" s="2" t="s">
        <v>545</v>
      </c>
      <c r="B8" s="2" t="s">
        <v>546</v>
      </c>
      <c r="C8" s="2" t="s">
        <v>547</v>
      </c>
    </row>
    <row r="9" customFormat="false" ht="46.25" hidden="false" customHeight="false" outlineLevel="0" collapsed="false">
      <c r="A9" s="2" t="s">
        <v>548</v>
      </c>
      <c r="B9" s="2" t="s">
        <v>549</v>
      </c>
      <c r="C9" s="2" t="s">
        <v>550</v>
      </c>
    </row>
    <row r="10" customFormat="false" ht="46.25" hidden="false" customHeight="false" outlineLevel="0" collapsed="false">
      <c r="A10" s="2" t="s">
        <v>551</v>
      </c>
      <c r="B10" s="2" t="s">
        <v>552</v>
      </c>
      <c r="C10" s="2" t="s">
        <v>553</v>
      </c>
    </row>
    <row r="11" customFormat="false" ht="15" hidden="false" customHeight="false" outlineLevel="0" collapsed="false">
      <c r="A11" s="2" t="s">
        <v>63</v>
      </c>
      <c r="B11" s="2" t="s">
        <v>554</v>
      </c>
      <c r="C11" s="2" t="s">
        <v>555</v>
      </c>
    </row>
    <row r="12" customFormat="false" ht="23.85" hidden="false" customHeight="false" outlineLevel="0" collapsed="false">
      <c r="A12" s="2" t="s">
        <v>556</v>
      </c>
      <c r="B12" s="2" t="s">
        <v>557</v>
      </c>
      <c r="C12" s="2" t="s">
        <v>558</v>
      </c>
    </row>
    <row r="13" customFormat="false" ht="15" hidden="false" customHeight="false" outlineLevel="0" collapsed="false">
      <c r="A13" s="2" t="s">
        <v>88</v>
      </c>
      <c r="B13" s="2" t="s">
        <v>559</v>
      </c>
      <c r="C13" s="2" t="s">
        <v>560</v>
      </c>
    </row>
    <row r="14" customFormat="false" ht="23.85" hidden="false" customHeight="false" outlineLevel="0" collapsed="false">
      <c r="A14" s="2" t="s">
        <v>95</v>
      </c>
      <c r="B14" s="2" t="s">
        <v>561</v>
      </c>
      <c r="C14" s="2" t="s">
        <v>562</v>
      </c>
    </row>
    <row r="15" customFormat="false" ht="15" hidden="false" customHeight="false" outlineLevel="0" collapsed="false">
      <c r="A15" s="2" t="s">
        <v>104</v>
      </c>
      <c r="B15" s="2" t="s">
        <v>563</v>
      </c>
      <c r="C15" s="2" t="s">
        <v>564</v>
      </c>
    </row>
    <row r="16" customFormat="false" ht="23.85" hidden="false" customHeight="false" outlineLevel="0" collapsed="false">
      <c r="A16" s="2" t="s">
        <v>261</v>
      </c>
      <c r="B16" s="2" t="s">
        <v>565</v>
      </c>
      <c r="C16" s="2" t="s">
        <v>566</v>
      </c>
    </row>
    <row r="17" customFormat="false" ht="15" hidden="false" customHeight="false" outlineLevel="0" collapsed="false">
      <c r="A17" s="2" t="s">
        <v>119</v>
      </c>
      <c r="B17" s="2" t="s">
        <v>567</v>
      </c>
      <c r="C17" s="2" t="s">
        <v>568</v>
      </c>
    </row>
    <row r="18" customFormat="false" ht="23.85" hidden="false" customHeight="false" outlineLevel="0" collapsed="false">
      <c r="A18" s="2" t="s">
        <v>569</v>
      </c>
      <c r="B18" s="2" t="s">
        <v>570</v>
      </c>
      <c r="C18" s="2" t="s">
        <v>571</v>
      </c>
    </row>
    <row r="19" customFormat="false" ht="15" hidden="false" customHeight="false" outlineLevel="0" collapsed="false">
      <c r="A19" s="2" t="s">
        <v>390</v>
      </c>
      <c r="B19" s="2" t="s">
        <v>572</v>
      </c>
      <c r="C19" s="2" t="s">
        <v>573</v>
      </c>
    </row>
    <row r="20" customFormat="false" ht="15" hidden="false" customHeight="false" outlineLevel="0" collapsed="false">
      <c r="A20" s="2" t="s">
        <v>326</v>
      </c>
      <c r="B20" s="2" t="s">
        <v>574</v>
      </c>
      <c r="C20" s="2" t="s">
        <v>575</v>
      </c>
    </row>
    <row r="21" customFormat="false" ht="15" hidden="false" customHeight="false" outlineLevel="0" collapsed="false">
      <c r="A21" s="2" t="s">
        <v>18</v>
      </c>
      <c r="B21" s="2" t="s">
        <v>576</v>
      </c>
      <c r="C21" s="2" t="s">
        <v>577</v>
      </c>
    </row>
    <row r="22" customFormat="false" ht="15" hidden="false" customHeight="false" outlineLevel="0" collapsed="false">
      <c r="A22" s="2" t="s">
        <v>578</v>
      </c>
      <c r="B22" s="2" t="s">
        <v>579</v>
      </c>
      <c r="C22" s="2" t="s">
        <v>580</v>
      </c>
    </row>
    <row r="23" customFormat="false" ht="35.05" hidden="false" customHeight="false" outlineLevel="0" collapsed="false">
      <c r="A23" s="2" t="s">
        <v>581</v>
      </c>
      <c r="B23" s="2" t="s">
        <v>582</v>
      </c>
      <c r="C23" s="2" t="s">
        <v>583</v>
      </c>
    </row>
    <row r="24" customFormat="false" ht="23.85" hidden="false" customHeight="false" outlineLevel="0" collapsed="false">
      <c r="A24" s="2" t="s">
        <v>584</v>
      </c>
      <c r="B24" s="2" t="s">
        <v>585</v>
      </c>
      <c r="C24" s="2" t="s">
        <v>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3" min="2" style="0" width="70"/>
  </cols>
  <sheetData>
    <row r="1" customFormat="false" ht="15" hidden="false" customHeight="false" outlineLevel="0" collapsed="false">
      <c r="A1" s="1" t="s">
        <v>587</v>
      </c>
      <c r="B1" s="1" t="s">
        <v>495</v>
      </c>
      <c r="C1" s="1" t="s">
        <v>588</v>
      </c>
    </row>
    <row r="2" customFormat="false" ht="35.05" hidden="false" customHeight="false" outlineLevel="0" collapsed="false">
      <c r="A2" s="2" t="n">
        <v>1</v>
      </c>
      <c r="B2" s="2" t="s">
        <v>589</v>
      </c>
      <c r="C2" s="2" t="s">
        <v>590</v>
      </c>
    </row>
    <row r="3" customFormat="false" ht="23.85" hidden="false" customHeight="false" outlineLevel="0" collapsed="false">
      <c r="A3" s="2" t="n">
        <v>2</v>
      </c>
      <c r="B3" s="2" t="s">
        <v>591</v>
      </c>
      <c r="C3" s="2" t="s">
        <v>592</v>
      </c>
    </row>
    <row r="4" customFormat="false" ht="23.85" hidden="false" customHeight="false" outlineLevel="0" collapsed="false">
      <c r="A4" s="2" t="n">
        <v>3</v>
      </c>
      <c r="B4" s="2" t="s">
        <v>593</v>
      </c>
      <c r="C4" s="2" t="s">
        <v>594</v>
      </c>
    </row>
    <row r="5" customFormat="false" ht="23.85" hidden="false" customHeight="false" outlineLevel="0" collapsed="false">
      <c r="A5" s="2" t="n">
        <v>4</v>
      </c>
      <c r="B5" s="2" t="s">
        <v>595</v>
      </c>
      <c r="C5" s="2" t="s">
        <v>596</v>
      </c>
    </row>
    <row r="6" customFormat="false" ht="23.85" hidden="false" customHeight="false" outlineLevel="0" collapsed="false">
      <c r="A6" s="2" t="n">
        <v>5</v>
      </c>
      <c r="B6" s="2" t="s">
        <v>597</v>
      </c>
      <c r="C6" s="2" t="s">
        <v>598</v>
      </c>
    </row>
    <row r="7" customFormat="false" ht="15" hidden="false" customHeight="false" outlineLevel="0" collapsed="false">
      <c r="A7" s="2" t="n">
        <v>6</v>
      </c>
      <c r="B7" s="2" t="s">
        <v>599</v>
      </c>
      <c r="C7" s="2" t="s">
        <v>600</v>
      </c>
    </row>
    <row r="8" customFormat="false" ht="23.85" hidden="false" customHeight="false" outlineLevel="0" collapsed="false">
      <c r="A8" s="2" t="n">
        <v>7</v>
      </c>
      <c r="B8" s="2" t="s">
        <v>601</v>
      </c>
      <c r="C8" s="2" t="s">
        <v>602</v>
      </c>
    </row>
    <row r="9" customFormat="false" ht="23.85" hidden="false" customHeight="false" outlineLevel="0" collapsed="false">
      <c r="A9" s="2" t="n">
        <v>8</v>
      </c>
      <c r="B9" s="2" t="s">
        <v>603</v>
      </c>
      <c r="C9" s="2"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2026-10-02T20:50:32Z</dcterms:created>
  <dc:creator>openpyxl</dc:creator>
  <dc:description/>
  <dc:language>en-US</dc:language>
  <cp:lastModifiedBy/>
  <dcterms:modified xsi:type="dcterms:W3CDTF">2026-10-02T20:50:32Z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
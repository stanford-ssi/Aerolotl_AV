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OM" sheetId="1" state="visible" r:id="rId1"/>
    <sheet xmlns:r="http://schemas.openxmlformats.org/officeDocument/2006/relationships" name="JLC_BOM" sheetId="2" state="visible" r:id="rId2"/>
    <sheet xmlns:r="http://schemas.openxmlformats.org/officeDocument/2006/relationships" name="Hand assembly &amp; loose" sheetId="3" state="visible" r:id="rId3"/>
    <sheet xmlns:r="http://schemas.openxmlformats.org/officeDocument/2006/relationships" name="Changes" sheetId="4" state="visible" r:id="rId4"/>
    <sheet xmlns:r="http://schemas.openxmlformats.org/officeDocument/2006/relationships" name="Open items" sheetId="5" state="visible" r:id="rId5"/>
    <sheet xmlns:r="http://schemas.openxmlformats.org/officeDocument/2006/relationships" name="Ref map" sheetId="6" state="visible" r:id="rId6"/>
  </sheets>
  <definedNames/>
</workbook>
</file>

<file path=xl/styles.xml><?xml version="1.0" encoding="utf-8"?>
<styleSheet xmlns="http://schemas.openxmlformats.org/spreadsheetml/2006/main">
  <numFmts count="0"/>
  <fonts count="7">
    <font>
      <name val="Calibri"/>
      <color theme="1"/>
      <sz val="11"/>
    </font>
    <font>
      <name val="Arial"/>
      <sz val="10"/>
    </font>
    <font>
      <name val="Arial"/>
      <sz val="10"/>
    </font>
    <font>
      <name val="Arial"/>
      <sz val="10"/>
    </font>
    <font>
      <name val="Arial"/>
      <b val="1"/>
      <color rgb="FFFFFFFF"/>
      <sz val="11"/>
    </font>
    <font>
      <name val="Arial"/>
      <sz val="10"/>
    </font>
    <font>
      <name val="Arial"/>
      <b val="1"/>
      <sz val="11"/>
    </font>
  </fonts>
  <fills count="3">
    <fill>
      <patternFill/>
    </fill>
    <fill>
      <patternFill patternType="gray125"/>
    </fill>
    <fill>
      <patternFill patternType="solid">
        <fgColor rgb="FF305496"/>
      </patternFill>
    </fill>
  </fills>
  <borders count="2">
    <border/>
    <border>
      <bottom style="thin">
        <color rgb="FFBFBFBF"/>
      </bottom>
    </border>
  </borders>
  <cellStyleXfs count="6">
    <xf numFmtId="0" fontId="0" fillId="0" borderId="0" applyAlignment="1">
      <alignment horizontal="general" vertical="bottom"/>
    </xf>
    <xf numFmtId="43" fontId="5" fillId="0" borderId="0"/>
    <xf numFmtId="41" fontId="5" fillId="0" borderId="0"/>
    <xf numFmtId="44" fontId="5" fillId="0" borderId="0"/>
    <xf numFmtId="42" fontId="5" fillId="0" borderId="0"/>
    <xf numFmtId="9" fontId="5" fillId="0" borderId="0"/>
  </cellStyleXfs>
  <cellXfs count="10">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3"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pivotButton="0" quotePrefix="0" xfId="0"/>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3" fontId="5" fillId="0"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R88"/>
  <sheetViews>
    <sheetView showGridLines="1" workbookViewId="0">
      <pane ySplit="1" topLeftCell="A2" activePane="bottomLeft" state="frozen"/>
      <selection activeCell="A1" sqref="A1"/>
    </sheetView>
  </sheetViews>
  <sheetFormatPr baseColWidth="8" defaultColWidth="8.6796875" defaultRowHeight="15"/>
  <cols>
    <col width="26" customWidth="1" style="5" min="1" max="1"/>
    <col width="6" customWidth="1" style="5" min="2" max="2"/>
    <col width="16" customWidth="1" style="5" min="3" max="3"/>
    <col width="30" customWidth="1" style="5" min="4" max="4"/>
    <col width="11" customWidth="1" style="5" min="5" max="5"/>
    <col width="26" customWidth="1" style="5" min="6" max="6"/>
    <col width="22" customWidth="1" style="5" min="7" max="7"/>
    <col width="9" customWidth="1" style="5" min="8" max="8"/>
    <col width="16" customWidth="1" style="5" min="9" max="9"/>
    <col width="10" customWidth="1" style="5" min="10" max="10"/>
    <col width="18" customWidth="1" style="5" min="11" max="11"/>
    <col width="9" customWidth="1" style="5" min="12" max="12"/>
    <col width="14" customWidth="1" style="5" min="13" max="13"/>
    <col width="12" customWidth="1" style="5" min="14" max="14"/>
    <col width="22" customWidth="1" style="5" min="15" max="15"/>
    <col width="9" customWidth="1" style="5" min="16" max="16"/>
    <col width="11" customWidth="1" style="5" min="17" max="17"/>
    <col width="70" customWidth="1" style="5" min="18" max="18"/>
  </cols>
  <sheetData>
    <row r="1" ht="52.20000076293945" customHeight="1" s="5">
      <c r="A1" s="6" t="inlineStr">
        <is>
          <t>Designators</t>
        </is>
      </c>
      <c r="B1" s="6" t="inlineStr">
        <is>
          <t>Qty</t>
        </is>
      </c>
      <c r="C1" s="6" t="inlineStr">
        <is>
          <t>Value</t>
        </is>
      </c>
      <c r="D1" s="6" t="inlineStr">
        <is>
          <t>Footprint</t>
        </is>
      </c>
      <c r="E1" s="6" t="inlineStr">
        <is>
          <t>LCSC Part</t>
        </is>
      </c>
      <c r="F1" s="6" t="inlineStr">
        <is>
          <t>MPN</t>
        </is>
      </c>
      <c r="G1" s="6" t="inlineStr">
        <is>
          <t>Manufacturer</t>
        </is>
      </c>
      <c r="H1" s="6" t="inlineStr">
        <is>
          <t>Voltage</t>
        </is>
      </c>
      <c r="I1" s="6" t="inlineStr">
        <is>
          <t>Dielectric</t>
        </is>
      </c>
      <c r="J1" s="6" t="inlineStr">
        <is>
          <t>Tolerance</t>
        </is>
      </c>
      <c r="K1" s="6" t="inlineStr">
        <is>
          <t>ESR / DCR</t>
        </is>
      </c>
      <c r="L1" s="6" t="inlineStr">
        <is>
          <t>Power</t>
        </is>
      </c>
      <c r="M1" s="6" t="inlineStr">
        <is>
          <t>JLC library</t>
        </is>
      </c>
      <c r="N1" s="6" t="inlineStr">
        <is>
          <t>JLC stock (checked 2026-10-02 / 10-06)</t>
        </is>
      </c>
      <c r="O1" s="6" t="inlineStr">
        <is>
          <t>Assembly</t>
        </is>
      </c>
      <c r="P1" s="6" t="inlineStr">
        <is>
          <t>Side</t>
        </is>
      </c>
      <c r="Q1" s="6" t="inlineStr">
        <is>
          <t>Sheet</t>
        </is>
      </c>
      <c r="R1" s="6" t="inlineStr">
        <is>
          <t>Notes / datasheet check</t>
        </is>
      </c>
    </row>
    <row r="2" ht="15" customHeight="1" s="5">
      <c r="A2" s="7" t="inlineStr">
        <is>
          <t>BZ1</t>
        </is>
      </c>
      <c r="B2" s="7">
        <f>LEN(A2)-LEN(SUBSTITUTE(A2,",",""))+1</f>
        <v/>
      </c>
      <c r="C2" s="7" t="inlineStr">
        <is>
          <t>HNB09A03</t>
        </is>
      </c>
      <c r="D2" s="7" t="inlineStr">
        <is>
          <t>BUZ-TH_BD9.0-P5.00-D0.6-FD</t>
        </is>
      </c>
      <c r="E2" s="7" t="inlineStr">
        <is>
          <t>C96102</t>
        </is>
      </c>
      <c r="F2" s="7" t="inlineStr">
        <is>
          <t>HNB09A03</t>
        </is>
      </c>
      <c r="G2" s="7" t="inlineStr">
        <is>
          <t>Huaneng</t>
        </is>
      </c>
      <c r="H2" s="7" t="n"/>
      <c r="I2" s="7" t="n"/>
      <c r="J2" s="7" t="n"/>
      <c r="K2" s="7" t="n"/>
      <c r="L2" s="7" t="n"/>
      <c r="M2" s="7" t="inlineStr">
        <is>
          <t>Extended</t>
        </is>
      </c>
      <c r="N2" s="8" t="n">
        <v>44983</v>
      </c>
      <c r="O2" s="7" t="inlineStr">
        <is>
          <t>JLC THT</t>
        </is>
      </c>
      <c r="P2" s="7" t="inlineStr">
        <is>
          <t>Top</t>
        </is>
      </c>
      <c r="Q2" s="7" t="inlineStr">
        <is>
          <t>indicators</t>
        </is>
      </c>
      <c r="R2" s="7" t="inlineStr">
        <is>
          <t>Active buzzer (internal oscillator): drive it on/off. PWM is only useful for beep patterns</t>
        </is>
      </c>
    </row>
    <row r="3" ht="23.85000038146973" customHeight="1" s="5">
      <c r="A3" s="7" t="inlineStr">
        <is>
          <t>C1</t>
        </is>
      </c>
      <c r="B3" s="7">
        <f>LEN(A3)-LEN(SUBSTITUTE(A3,",",""))+1</f>
        <v/>
      </c>
      <c r="C3" s="7" t="inlineStr">
        <is>
          <t>4u7</t>
        </is>
      </c>
      <c r="D3" s="7" t="inlineStr">
        <is>
          <t>C_0805_2012Metric</t>
        </is>
      </c>
      <c r="E3" s="7" t="inlineStr">
        <is>
          <t>C98195</t>
        </is>
      </c>
      <c r="F3" s="7" t="inlineStr">
        <is>
          <t>CL21B475KAFNNNE</t>
        </is>
      </c>
      <c r="G3" s="7" t="inlineStr">
        <is>
          <t>Samsung Electro-Mechanics</t>
        </is>
      </c>
      <c r="H3" s="7" t="inlineStr">
        <is>
          <t>25V</t>
        </is>
      </c>
      <c r="I3" s="7" t="inlineStr">
        <is>
          <t>X7R</t>
        </is>
      </c>
      <c r="J3" s="7" t="inlineStr">
        <is>
          <t>10%</t>
        </is>
      </c>
      <c r="K3" s="7" t="n"/>
      <c r="L3" s="7" t="n"/>
      <c r="M3" s="7" t="inlineStr">
        <is>
          <t>Extended</t>
        </is>
      </c>
      <c r="N3" s="8" t="n">
        <v>311410</v>
      </c>
      <c r="O3" s="7" t="inlineStr">
        <is>
          <t>JLC SMT</t>
        </is>
      </c>
      <c r="P3" s="7" t="inlineStr">
        <is>
          <t>Top</t>
        </is>
      </c>
      <c r="Q3" s="7" t="inlineStr">
        <is>
          <t>mcu</t>
        </is>
      </c>
      <c r="R3" s="7" t="inlineStr">
        <is>
          <t>STM32G474 DS12288 Fig.16: VDD n x 100nF + 1 x 4.7uF</t>
        </is>
      </c>
    </row>
    <row r="4" ht="35.04999923706055" customHeight="1" s="5">
      <c r="A4" s="7" t="inlineStr">
        <is>
          <t>C2, C3, C4, C5, C7, C8, C9, C25, C26, C27, C29, C30, C31, C33, C35, C38, C43, C44</t>
        </is>
      </c>
      <c r="B4" s="7">
        <f>LEN(A4)-LEN(SUBSTITUTE(A4,",",""))+1</f>
        <v/>
      </c>
      <c r="C4" s="7" t="inlineStr">
        <is>
          <t>100n</t>
        </is>
      </c>
      <c r="D4" s="7" t="inlineStr">
        <is>
          <t>C_0402_1005Metric</t>
        </is>
      </c>
      <c r="E4" s="7" t="inlineStr">
        <is>
          <t>C1525</t>
        </is>
      </c>
      <c r="F4" s="7" t="inlineStr">
        <is>
          <t>CL05B104KO5NNNC</t>
        </is>
      </c>
      <c r="G4" s="7" t="inlineStr">
        <is>
          <t>Samsung Electro-Mechanics</t>
        </is>
      </c>
      <c r="H4" s="7" t="inlineStr">
        <is>
          <t>16V</t>
        </is>
      </c>
      <c r="I4" s="7" t="inlineStr">
        <is>
          <t>X7R</t>
        </is>
      </c>
      <c r="J4" s="7" t="inlineStr">
        <is>
          <t>10%</t>
        </is>
      </c>
      <c r="K4" s="7" t="n"/>
      <c r="L4" s="7" t="n"/>
      <c r="M4" s="7" t="inlineStr">
        <is>
          <t>Basic</t>
        </is>
      </c>
      <c r="N4" s="8" t="n">
        <v>21581667</v>
      </c>
      <c r="O4" s="7" t="inlineStr">
        <is>
          <t>JLC SMT</t>
        </is>
      </c>
      <c r="P4" s="7" t="inlineStr">
        <is>
          <t>Top</t>
        </is>
      </c>
      <c r="Q4" s="7" t="inlineStr">
        <is>
          <t>mcu</t>
        </is>
      </c>
      <c r="R4" s="7" t="inlineStr">
        <is>
          <t>ADXL345 DS: 0.1uF ceramic at VDD I/O; ADXL375 DS: 0.1uF ceramic at VDD I/O; Ra-01H supply decoupling (TX burst ~120mA); place at module pin 3; STM32G474 DS12288 Fig.16: VREF+ 100nF + 1uF</t>
        </is>
      </c>
    </row>
    <row r="5" ht="23.85000038146973" customHeight="1" s="5">
      <c r="A5" s="7" t="inlineStr">
        <is>
          <t>C6, C11, C12</t>
        </is>
      </c>
      <c r="B5" s="7">
        <f>LEN(A5)-LEN(SUBSTITUTE(A5,",",""))+1</f>
        <v/>
      </c>
      <c r="C5" s="7" t="inlineStr">
        <is>
          <t>1u</t>
        </is>
      </c>
      <c r="D5" s="7" t="inlineStr">
        <is>
          <t>C_0603_1608Metric</t>
        </is>
      </c>
      <c r="E5" s="7" t="inlineStr">
        <is>
          <t>C29936</t>
        </is>
      </c>
      <c r="F5" s="7" t="inlineStr">
        <is>
          <t>CL10B105KA8NNNC</t>
        </is>
      </c>
      <c r="G5" s="7" t="inlineStr">
        <is>
          <t>Samsung Electro-Mechanics</t>
        </is>
      </c>
      <c r="H5" s="7" t="inlineStr">
        <is>
          <t>25V</t>
        </is>
      </c>
      <c r="I5" s="7" t="inlineStr">
        <is>
          <t>X7R</t>
        </is>
      </c>
      <c r="J5" s="7" t="inlineStr">
        <is>
          <t>10%</t>
        </is>
      </c>
      <c r="K5" s="7" t="n"/>
      <c r="L5" s="7" t="n"/>
      <c r="M5" s="7" t="inlineStr">
        <is>
          <t>Extended</t>
        </is>
      </c>
      <c r="N5" s="8" t="n">
        <v>266599</v>
      </c>
      <c r="O5" s="7" t="inlineStr">
        <is>
          <t>JLC SMT</t>
        </is>
      </c>
      <c r="P5" s="7" t="inlineStr">
        <is>
          <t>Top</t>
        </is>
      </c>
      <c r="Q5" s="7" t="inlineStr">
        <is>
          <t>mcu</t>
        </is>
      </c>
      <c r="R5" s="7" t="inlineStr">
        <is>
          <t>STM32G474 DS12288 Fig.16: VDDA 1uF; STM32G474 DS12288 Fig.16: VREF+ 100nF + 1uF</t>
        </is>
      </c>
    </row>
    <row r="6" ht="23.85000038146973" customHeight="1" s="5">
      <c r="A6" s="7" t="inlineStr">
        <is>
          <t>C10</t>
        </is>
      </c>
      <c r="B6" s="7">
        <f>LEN(A6)-LEN(SUBSTITUTE(A6,",",""))+1</f>
        <v/>
      </c>
      <c r="C6" s="7" t="inlineStr">
        <is>
          <t>10n</t>
        </is>
      </c>
      <c r="D6" s="7" t="inlineStr">
        <is>
          <t>C_0402_1005Metric</t>
        </is>
      </c>
      <c r="E6" s="7" t="inlineStr">
        <is>
          <t>C15195</t>
        </is>
      </c>
      <c r="F6" s="7" t="inlineStr">
        <is>
          <t>CL05B103KB5NNNC</t>
        </is>
      </c>
      <c r="G6" s="7" t="inlineStr">
        <is>
          <t>Samsung Electro-Mechanics</t>
        </is>
      </c>
      <c r="H6" s="7" t="inlineStr">
        <is>
          <t>50V</t>
        </is>
      </c>
      <c r="I6" s="7" t="inlineStr">
        <is>
          <t>X7R</t>
        </is>
      </c>
      <c r="J6" s="7" t="inlineStr">
        <is>
          <t>10%</t>
        </is>
      </c>
      <c r="K6" s="7" t="n"/>
      <c r="L6" s="7" t="n"/>
      <c r="M6" s="7" t="inlineStr">
        <is>
          <t>Basic</t>
        </is>
      </c>
      <c r="N6" s="8" t="n">
        <v>4033054</v>
      </c>
      <c r="O6" s="7" t="inlineStr">
        <is>
          <t>JLC SMT</t>
        </is>
      </c>
      <c r="P6" s="7" t="inlineStr">
        <is>
          <t>Top</t>
        </is>
      </c>
      <c r="Q6" s="7" t="inlineStr">
        <is>
          <t>mcu</t>
        </is>
      </c>
      <c r="R6" s="7" t="inlineStr">
        <is>
          <t>STM32G474 DS12288 Fig.16: VDDA = 10nF + 1uF (was 100nF)</t>
        </is>
      </c>
    </row>
    <row r="7" ht="15" customHeight="1" s="5">
      <c r="A7" s="7" t="inlineStr">
        <is>
          <t>C13, C15</t>
        </is>
      </c>
      <c r="B7" s="7">
        <f>LEN(A7)-LEN(SUBSTITUTE(A7,",",""))+1</f>
        <v/>
      </c>
      <c r="C7" s="7" t="inlineStr">
        <is>
          <t>15p</t>
        </is>
      </c>
      <c r="D7" s="7" t="inlineStr">
        <is>
          <t>C_0402_1005Metric</t>
        </is>
      </c>
      <c r="E7" s="7" t="inlineStr">
        <is>
          <t>C1548</t>
        </is>
      </c>
      <c r="F7" s="7" t="inlineStr">
        <is>
          <t>0402CG150J500NT</t>
        </is>
      </c>
      <c r="G7" s="7" t="inlineStr">
        <is>
          <t>FH (Guangdong Fenghua)</t>
        </is>
      </c>
      <c r="H7" s="7" t="inlineStr">
        <is>
          <t>50V</t>
        </is>
      </c>
      <c r="I7" s="7" t="inlineStr">
        <is>
          <t>C0G</t>
        </is>
      </c>
      <c r="J7" s="7" t="inlineStr">
        <is>
          <t>5%</t>
        </is>
      </c>
      <c r="K7" s="7" t="n"/>
      <c r="L7" s="7" t="n"/>
      <c r="M7" s="7" t="inlineStr">
        <is>
          <t>Basic</t>
        </is>
      </c>
      <c r="N7" s="8" t="n">
        <v>1431860</v>
      </c>
      <c r="O7" s="7" t="inlineStr">
        <is>
          <t>JLC SMT</t>
        </is>
      </c>
      <c r="P7" s="7" t="inlineStr">
        <is>
          <t>Top</t>
        </is>
      </c>
      <c r="Q7" s="7" t="inlineStr">
        <is>
          <t>mcu</t>
        </is>
      </c>
      <c r="R7" s="7" t="inlineStr">
        <is>
          <t>HSE load cap, 12pF crystal: 2 x (12pF - ~4.5pF stray) = ~15pF</t>
        </is>
      </c>
    </row>
    <row r="8" ht="15" customHeight="1" s="5">
      <c r="A8" s="7" t="inlineStr">
        <is>
          <t>C14</t>
        </is>
      </c>
      <c r="B8" s="7">
        <f>LEN(A8)-LEN(SUBSTITUTE(A8,",",""))+1</f>
        <v/>
      </c>
      <c r="C8" s="7" t="inlineStr">
        <is>
          <t>100n</t>
        </is>
      </c>
      <c r="D8" s="7" t="inlineStr">
        <is>
          <t>C_0603_1608Metric</t>
        </is>
      </c>
      <c r="E8" s="7" t="inlineStr">
        <is>
          <t>C14663</t>
        </is>
      </c>
      <c r="F8" s="7" t="inlineStr">
        <is>
          <t>CC0603KRX7R9BB104</t>
        </is>
      </c>
      <c r="G8" s="7" t="inlineStr">
        <is>
          <t>YAGEO</t>
        </is>
      </c>
      <c r="H8" s="7" t="inlineStr">
        <is>
          <t>50V</t>
        </is>
      </c>
      <c r="I8" s="7" t="inlineStr">
        <is>
          <t>X7R</t>
        </is>
      </c>
      <c r="J8" s="7" t="inlineStr">
        <is>
          <t>10%</t>
        </is>
      </c>
      <c r="K8" s="7" t="n"/>
      <c r="L8" s="7" t="n"/>
      <c r="M8" s="7" t="inlineStr">
        <is>
          <t>Basic</t>
        </is>
      </c>
      <c r="N8" s="8" t="n">
        <v>58141193</v>
      </c>
      <c r="O8" s="7" t="inlineStr">
        <is>
          <t>JLC SMT</t>
        </is>
      </c>
      <c r="P8" s="7" t="inlineStr">
        <is>
          <t>Top</t>
        </is>
      </c>
      <c r="Q8" s="7" t="inlineStr">
        <is>
          <t>mcu</t>
        </is>
      </c>
      <c r="R8" s="7" t="n"/>
    </row>
    <row r="9" ht="23.85000038146973" customHeight="1" s="5">
      <c r="A9" s="7" t="inlineStr">
        <is>
          <t>C16, C17</t>
        </is>
      </c>
      <c r="B9" s="7">
        <f>LEN(A9)-LEN(SUBSTITUTE(A9,",",""))+1</f>
        <v/>
      </c>
      <c r="C9" s="7" t="inlineStr">
        <is>
          <t>4.7p</t>
        </is>
      </c>
      <c r="D9" s="7" t="inlineStr">
        <is>
          <t>C_0402_1005Metric</t>
        </is>
      </c>
      <c r="E9" s="7" t="inlineStr">
        <is>
          <t>C1569</t>
        </is>
      </c>
      <c r="F9" s="7" t="inlineStr">
        <is>
          <t>0402CG4R7C500NT</t>
        </is>
      </c>
      <c r="G9" s="7" t="inlineStr">
        <is>
          <t>FH (Guangdong Fenghua)</t>
        </is>
      </c>
      <c r="H9" s="7" t="inlineStr">
        <is>
          <t>50V</t>
        </is>
      </c>
      <c r="I9" s="7" t="inlineStr">
        <is>
          <t>C0G</t>
        </is>
      </c>
      <c r="J9" s="7" t="inlineStr">
        <is>
          <t>0.25pF</t>
        </is>
      </c>
      <c r="K9" s="7" t="n"/>
      <c r="L9" s="7" t="n"/>
      <c r="M9" s="7" t="inlineStr">
        <is>
          <t>Extended (preferred)</t>
        </is>
      </c>
      <c r="N9" s="8" t="n">
        <v>597482</v>
      </c>
      <c r="O9" s="7" t="inlineStr">
        <is>
          <t>JLC SMT</t>
        </is>
      </c>
      <c r="P9" s="7" t="inlineStr">
        <is>
          <t>Top</t>
        </is>
      </c>
      <c r="Q9" s="7" t="inlineStr">
        <is>
          <t>mcu</t>
        </is>
      </c>
      <c r="R9" s="7" t="inlineStr">
        <is>
          <t>LSE load cap for 6pF crystal: CL = C/2 + Cs (Cs ~3.5-4pF)</t>
        </is>
      </c>
    </row>
    <row r="10" ht="35.04999923706055" customHeight="1" s="5">
      <c r="A10" s="7" t="inlineStr">
        <is>
          <t>C18, C19, C37</t>
        </is>
      </c>
      <c r="B10" s="7">
        <f>LEN(A10)-LEN(SUBSTITUTE(A10,",",""))+1</f>
        <v/>
      </c>
      <c r="C10" s="7" t="inlineStr">
        <is>
          <t>10u</t>
        </is>
      </c>
      <c r="D10" s="7" t="inlineStr">
        <is>
          <t>C_0805_2012Metric</t>
        </is>
      </c>
      <c r="E10" s="7" t="inlineStr">
        <is>
          <t>C15850</t>
        </is>
      </c>
      <c r="F10" s="7" t="inlineStr">
        <is>
          <t>CL21A106KAYNNNE</t>
        </is>
      </c>
      <c r="G10" s="7" t="inlineStr">
        <is>
          <t>Samsung Electro-Mechanics</t>
        </is>
      </c>
      <c r="H10" s="7" t="inlineStr">
        <is>
          <t>25V</t>
        </is>
      </c>
      <c r="I10" s="7" t="inlineStr">
        <is>
          <t>X5R</t>
        </is>
      </c>
      <c r="J10" s="7" t="inlineStr">
        <is>
          <t>10%</t>
        </is>
      </c>
      <c r="K10" s="7" t="n"/>
      <c r="L10" s="7" t="n"/>
      <c r="M10" s="7" t="inlineStr">
        <is>
          <t>Basic</t>
        </is>
      </c>
      <c r="N10" s="8" t="n">
        <v>4951626</v>
      </c>
      <c r="O10" s="7" t="inlineStr">
        <is>
          <t>JLC SMT</t>
        </is>
      </c>
      <c r="P10" s="7" t="inlineStr">
        <is>
          <t>Top</t>
        </is>
      </c>
      <c r="Q10" s="7" t="inlineStr">
        <is>
          <t>power</t>
        </is>
      </c>
      <c r="R10" s="7" t="inlineStr">
        <is>
          <t>Ra-01H supply decoupling (TX burst ~120mA); place at module pin 3; TPS63802 CIN: 10uF X5R/X7R at VIN-GND (DS 10.2.2.4). 25V 0805 keeps &gt;5uF at 5V bias.; USB 2.0 allows at most 10uF on VBUS at attach (was 22uF)</t>
        </is>
      </c>
    </row>
    <row r="11" ht="23.85000038146973" customHeight="1" s="5">
      <c r="A11" s="7" t="inlineStr">
        <is>
          <t>C20, C21</t>
        </is>
      </c>
      <c r="B11" s="7">
        <f>LEN(A11)-LEN(SUBSTITUTE(A11,",",""))+1</f>
        <v/>
      </c>
      <c r="C11" s="7" t="inlineStr">
        <is>
          <t>1u</t>
        </is>
      </c>
      <c r="D11" s="7" t="inlineStr">
        <is>
          <t>C_0402_1005Metric</t>
        </is>
      </c>
      <c r="E11" s="7" t="inlineStr">
        <is>
          <t>C52923</t>
        </is>
      </c>
      <c r="F11" s="7" t="inlineStr">
        <is>
          <t>CL05A105KA5NQNC</t>
        </is>
      </c>
      <c r="G11" s="7" t="inlineStr">
        <is>
          <t>Samsung Electro-Mechanics</t>
        </is>
      </c>
      <c r="H11" s="7" t="inlineStr">
        <is>
          <t>25V</t>
        </is>
      </c>
      <c r="I11" s="7" t="inlineStr">
        <is>
          <t>X5R</t>
        </is>
      </c>
      <c r="J11" s="7" t="inlineStr">
        <is>
          <t>10%</t>
        </is>
      </c>
      <c r="K11" s="7" t="n"/>
      <c r="L11" s="7" t="n"/>
      <c r="M11" s="7" t="inlineStr">
        <is>
          <t>Basic</t>
        </is>
      </c>
      <c r="N11" s="8" t="n">
        <v>5613299</v>
      </c>
      <c r="O11" s="7" t="inlineStr">
        <is>
          <t>JLC SMT</t>
        </is>
      </c>
      <c r="P11" s="7" t="inlineStr">
        <is>
          <t>Top</t>
        </is>
      </c>
      <c r="Q11" s="7" t="inlineStr">
        <is>
          <t>power</t>
        </is>
      </c>
      <c r="R11" s="7" t="inlineStr">
        <is>
          <t>TPS2116 VIN1 (VBUS) bypass; TPS2116 VIN2 (+VBAT) bypass</t>
        </is>
      </c>
    </row>
    <row r="12" ht="23.85000038146973" customHeight="1" s="5">
      <c r="A12" s="7" t="inlineStr">
        <is>
          <t>C22, C23, C36</t>
        </is>
      </c>
      <c r="B12" s="7">
        <f>LEN(A12)-LEN(SUBSTITUTE(A12,",",""))+1</f>
        <v/>
      </c>
      <c r="C12" s="7" t="inlineStr">
        <is>
          <t>22u</t>
        </is>
      </c>
      <c r="D12" s="7" t="inlineStr">
        <is>
          <t>C_0805_2012Metric</t>
        </is>
      </c>
      <c r="E12" s="7" t="inlineStr">
        <is>
          <t>C45783</t>
        </is>
      </c>
      <c r="F12" s="7" t="inlineStr">
        <is>
          <t>CL21A226MAQNNNE</t>
        </is>
      </c>
      <c r="G12" s="7" t="inlineStr">
        <is>
          <t>Samsung Electro-Mechanics</t>
        </is>
      </c>
      <c r="H12" s="7" t="inlineStr">
        <is>
          <t>25V</t>
        </is>
      </c>
      <c r="I12" s="7" t="inlineStr">
        <is>
          <t>X5R</t>
        </is>
      </c>
      <c r="J12" s="7" t="inlineStr">
        <is>
          <t>20%</t>
        </is>
      </c>
      <c r="K12" s="7" t="n"/>
      <c r="L12" s="7" t="n"/>
      <c r="M12" s="7" t="inlineStr">
        <is>
          <t>Basic</t>
        </is>
      </c>
      <c r="N12" s="8" t="n">
        <v>3990887</v>
      </c>
      <c r="O12" s="7" t="inlineStr">
        <is>
          <t>JLC SMT</t>
        </is>
      </c>
      <c r="P12" s="7" t="inlineStr">
        <is>
          <t>Top</t>
        </is>
      </c>
      <c r="Q12" s="7" t="inlineStr">
        <is>
          <t>power</t>
        </is>
      </c>
      <c r="R12" s="7" t="inlineStr">
        <is>
          <t>TPS63802 COUT (DS 10.2.2.3: 22uF nominal, effective &gt;= 10uF after DC bias). Two 0805 25V parts give ~24uF effective at 3.3V.</t>
        </is>
      </c>
    </row>
    <row r="13" ht="23.85000038146973" customHeight="1" s="5">
      <c r="A13" s="7" t="inlineStr">
        <is>
          <t>C24</t>
        </is>
      </c>
      <c r="B13" s="7">
        <f>LEN(A13)-LEN(SUBSTITUTE(A13,",",""))+1</f>
        <v/>
      </c>
      <c r="C13" s="7" t="inlineStr">
        <is>
          <t>100u</t>
        </is>
      </c>
      <c r="D13" s="7" t="inlineStr">
        <is>
          <t>C_1206_3216Metric</t>
        </is>
      </c>
      <c r="E13" s="7" t="inlineStr">
        <is>
          <t>C15008</t>
        </is>
      </c>
      <c r="F13" s="7" t="inlineStr">
        <is>
          <t>CL31A107MQHNNNE</t>
        </is>
      </c>
      <c r="G13" s="7" t="inlineStr">
        <is>
          <t>Samsung Electro-Mechanics</t>
        </is>
      </c>
      <c r="H13" s="7" t="inlineStr">
        <is>
          <t>6.3V</t>
        </is>
      </c>
      <c r="I13" s="7" t="inlineStr">
        <is>
          <t>X5R</t>
        </is>
      </c>
      <c r="J13" s="7" t="inlineStr">
        <is>
          <t>20%</t>
        </is>
      </c>
      <c r="K13" s="7" t="n"/>
      <c r="L13" s="7" t="n"/>
      <c r="M13" s="7" t="inlineStr">
        <is>
          <t>Basic</t>
        </is>
      </c>
      <c r="N13" s="8" t="n">
        <v>1940643</v>
      </c>
      <c r="O13" s="7" t="inlineStr">
        <is>
          <t>JLC SMT</t>
        </is>
      </c>
      <c r="P13" s="7" t="inlineStr">
        <is>
          <t>Top</t>
        </is>
      </c>
      <c r="Q13" s="7" t="inlineStr">
        <is>
          <t>power</t>
        </is>
      </c>
      <c r="R13" s="7" t="inlineStr">
        <is>
          <t>TPS2116 DS 7.3.4: bulk on VOUT (VSYS) rides through the break-before-make switchover. Also the TPS63802 input bulk.</t>
        </is>
      </c>
    </row>
    <row r="14" ht="23.85000038146973" customHeight="1" s="5">
      <c r="A14" s="7" t="inlineStr">
        <is>
          <t>C28</t>
        </is>
      </c>
      <c r="B14" s="7">
        <f>LEN(A14)-LEN(SUBSTITUTE(A14,",",""))+1</f>
        <v/>
      </c>
      <c r="C14" s="7" t="inlineStr">
        <is>
          <t>10u</t>
        </is>
      </c>
      <c r="D14" s="7" t="inlineStr">
        <is>
          <t>C_0603_1608Metric</t>
        </is>
      </c>
      <c r="E14" s="7" t="inlineStr">
        <is>
          <t>C19702</t>
        </is>
      </c>
      <c r="F14" s="7" t="inlineStr">
        <is>
          <t>CL10A106KP8NNNC</t>
        </is>
      </c>
      <c r="G14" s="7" t="inlineStr">
        <is>
          <t>Samsung Electro-Mechanics</t>
        </is>
      </c>
      <c r="H14" s="7" t="inlineStr">
        <is>
          <t>10V</t>
        </is>
      </c>
      <c r="I14" s="7" t="inlineStr">
        <is>
          <t>X5R</t>
        </is>
      </c>
      <c r="J14" s="7" t="inlineStr">
        <is>
          <t>10%</t>
        </is>
      </c>
      <c r="K14" s="7" t="n"/>
      <c r="L14" s="7" t="n"/>
      <c r="M14" s="7" t="inlineStr">
        <is>
          <t>Basic</t>
        </is>
      </c>
      <c r="N14" s="8" t="n">
        <v>10315650</v>
      </c>
      <c r="O14" s="7" t="inlineStr">
        <is>
          <t>JLC SMT</t>
        </is>
      </c>
      <c r="P14" s="7" t="inlineStr">
        <is>
          <t>Top</t>
        </is>
      </c>
      <c r="Q14" s="7" t="inlineStr">
        <is>
          <t>sensors</t>
        </is>
      </c>
      <c r="R14" s="7" t="n"/>
    </row>
    <row r="15" ht="15" customHeight="1" s="5">
      <c r="A15" s="7" t="inlineStr">
        <is>
          <t>C32, C34</t>
        </is>
      </c>
      <c r="B15" s="7">
        <f>LEN(A15)-LEN(SUBSTITUTE(A15,",",""))+1</f>
        <v/>
      </c>
      <c r="C15" s="7" t="inlineStr">
        <is>
          <t>1u</t>
        </is>
      </c>
      <c r="D15" s="7" t="inlineStr">
        <is>
          <t>CP_EIA-2012-12_Kemet-R</t>
        </is>
      </c>
      <c r="E15" s="7" t="inlineStr">
        <is>
          <t>C444768</t>
        </is>
      </c>
      <c r="F15" s="7" t="inlineStr">
        <is>
          <t>TAJR105K010RNJ</t>
        </is>
      </c>
      <c r="G15" s="7" t="inlineStr">
        <is>
          <t>Kyocera AVX</t>
        </is>
      </c>
      <c r="H15" s="7" t="inlineStr">
        <is>
          <t>10V</t>
        </is>
      </c>
      <c r="I15" s="7" t="inlineStr">
        <is>
          <t>Tantalum (MnO2)</t>
        </is>
      </c>
      <c r="J15" s="7" t="inlineStr">
        <is>
          <t>10%</t>
        </is>
      </c>
      <c r="K15" s="7" t="inlineStr">
        <is>
          <t>25R @100kHz</t>
        </is>
      </c>
      <c r="L15" s="7" t="n"/>
      <c r="M15" s="7" t="inlineStr">
        <is>
          <t>Extended</t>
        </is>
      </c>
      <c r="N15" s="8" t="n">
        <v>2570</v>
      </c>
      <c r="O15" s="7" t="inlineStr">
        <is>
          <t>JLC SMT</t>
        </is>
      </c>
      <c r="P15" s="7" t="inlineStr">
        <is>
          <t>Top</t>
        </is>
      </c>
      <c r="Q15" s="7" t="inlineStr">
        <is>
          <t>sensors</t>
        </is>
      </c>
      <c r="R15" s="7" t="inlineStr">
        <is>
          <t>ADXL345 DS p.28: 1uF tantalum at VS; ADXL375 DS: 1uF tantalum at VS</t>
        </is>
      </c>
    </row>
    <row r="16" ht="23.85000038146973" customHeight="1" s="5">
      <c r="A16" s="7" t="inlineStr">
        <is>
          <t>C39, C40</t>
        </is>
      </c>
      <c r="B16" s="7">
        <f>LEN(A16)-LEN(SUBSTITUTE(A16,",",""))+1</f>
        <v/>
      </c>
      <c r="C16" s="7" t="inlineStr">
        <is>
          <t>150n</t>
        </is>
      </c>
      <c r="D16" s="7" t="inlineStr">
        <is>
          <t>C_0603_1608Metric</t>
        </is>
      </c>
      <c r="E16" s="7" t="inlineStr">
        <is>
          <t>C513735</t>
        </is>
      </c>
      <c r="F16" s="7" t="inlineStr">
        <is>
          <t>CC0603KRX7R9BB154</t>
        </is>
      </c>
      <c r="G16" s="7" t="inlineStr">
        <is>
          <t>YAGEO</t>
        </is>
      </c>
      <c r="H16" s="7" t="inlineStr">
        <is>
          <t>50V</t>
        </is>
      </c>
      <c r="I16" s="7" t="inlineStr">
        <is>
          <t>X7R</t>
        </is>
      </c>
      <c r="J16" s="7" t="inlineStr">
        <is>
          <t>10%</t>
        </is>
      </c>
      <c r="K16" s="7" t="n"/>
      <c r="L16" s="7" t="n"/>
      <c r="M16" s="7" t="inlineStr">
        <is>
          <t>Extended</t>
        </is>
      </c>
      <c r="N16" s="8" t="n">
        <v>607110</v>
      </c>
      <c r="O16" s="7" t="inlineStr">
        <is>
          <t>JLC SMT</t>
        </is>
      </c>
      <c r="P16" s="7" t="inlineStr">
        <is>
          <t>Top</t>
        </is>
      </c>
      <c r="Q16" s="7" t="inlineStr">
        <is>
          <t>igniter</t>
        </is>
      </c>
      <c r="R16" s="7" t="inlineStr">
        <is>
          <t>PMOS gate slow-turn-on cap across +VBAT_ARM (gate-source): 50V part, &gt;10x margin</t>
        </is>
      </c>
    </row>
    <row r="17" ht="35.04999923706055" customHeight="1" s="5">
      <c r="A17" s="7" t="inlineStr">
        <is>
          <t>C41, C42</t>
        </is>
      </c>
      <c r="B17" s="7">
        <f>LEN(A17)-LEN(SUBSTITUTE(A17,",",""))+1</f>
        <v/>
      </c>
      <c r="C17" s="7" t="inlineStr">
        <is>
          <t>330u</t>
        </is>
      </c>
      <c r="D17" s="7" t="inlineStr">
        <is>
          <t>CP_Elec_8x10</t>
        </is>
      </c>
      <c r="E17" s="7" t="inlineStr">
        <is>
          <t>C970701</t>
        </is>
      </c>
      <c r="F17" s="7" t="inlineStr">
        <is>
          <t>RVT1E331M0810</t>
        </is>
      </c>
      <c r="G17" s="7" t="inlineStr">
        <is>
          <t>DMBJ</t>
        </is>
      </c>
      <c r="H17" s="7" t="inlineStr">
        <is>
          <t>25V</t>
        </is>
      </c>
      <c r="I17" s="7" t="inlineStr">
        <is>
          <t>Aluminum electrolytic</t>
        </is>
      </c>
      <c r="J17" s="7" t="inlineStr">
        <is>
          <t>20%</t>
        </is>
      </c>
      <c r="K17" s="7" t="inlineStr">
        <is>
          <t>not specified (standard 105C SMD Al-El)</t>
        </is>
      </c>
      <c r="L17" s="7" t="n"/>
      <c r="M17" s="7" t="inlineStr">
        <is>
          <t>Extended</t>
        </is>
      </c>
      <c r="N17" s="8" t="n">
        <v>1527</v>
      </c>
      <c r="O17" s="7" t="inlineStr">
        <is>
          <t>JLC SMT</t>
        </is>
      </c>
      <c r="P17" s="7" t="inlineStr">
        <is>
          <t>Top</t>
        </is>
      </c>
      <c r="Q17" s="7" t="inlineStr">
        <is>
          <t>igniter</t>
        </is>
      </c>
      <c r="R17" s="7" t="inlineStr">
        <is>
          <t>Igniter reservoir on +VBAT_ARM (1S, 4.2V max). 25V part kept (already on order list); 6.3V+ would do.</t>
        </is>
      </c>
    </row>
    <row r="18" ht="23.85000038146973" customHeight="1" s="5">
      <c r="A18" s="7" t="inlineStr">
        <is>
          <t>C45</t>
        </is>
      </c>
      <c r="B18" s="7">
        <f>LEN(A18)-LEN(SUBSTITUTE(A18,",",""))+1</f>
        <v/>
      </c>
      <c r="C18" s="7" t="inlineStr">
        <is>
          <t>47u</t>
        </is>
      </c>
      <c r="D18" s="7" t="inlineStr">
        <is>
          <t>C_1206_3216Metric</t>
        </is>
      </c>
      <c r="E18" s="7" t="inlineStr">
        <is>
          <t>C96123</t>
        </is>
      </c>
      <c r="F18" s="7" t="inlineStr">
        <is>
          <t>CL31A476MPHNNNE</t>
        </is>
      </c>
      <c r="G18" s="7" t="inlineStr">
        <is>
          <t>Samsung Electro-Mechanics</t>
        </is>
      </c>
      <c r="H18" s="7" t="inlineStr">
        <is>
          <t>10V</t>
        </is>
      </c>
      <c r="I18" s="7" t="inlineStr">
        <is>
          <t>X5R</t>
        </is>
      </c>
      <c r="J18" s="7" t="inlineStr">
        <is>
          <t>20%</t>
        </is>
      </c>
      <c r="K18" s="7" t="n"/>
      <c r="L18" s="7" t="n"/>
      <c r="M18" s="7" t="inlineStr">
        <is>
          <t>Basic</t>
        </is>
      </c>
      <c r="N18" s="8" t="n">
        <v>296901</v>
      </c>
      <c r="O18" s="7" t="inlineStr">
        <is>
          <t>JLC SMT</t>
        </is>
      </c>
      <c r="P18" s="7" t="inlineStr">
        <is>
          <t>Top</t>
        </is>
      </c>
      <c r="Q18" s="7" t="inlineStr">
        <is>
          <t>airlift</t>
        </is>
      </c>
      <c r="R18" s="7" t="inlineStr">
        <is>
          <t>Bulk for AirLift (ESP32) Wi-Fi TX current spikes. Place at U11 pin 1 (VIN) / pin 3 (GND). 10V 1206 keeps ~25uF at 3.3V.</t>
        </is>
      </c>
    </row>
    <row r="19" ht="46.25" customHeight="1" s="5">
      <c r="A19" s="7" t="inlineStr">
        <is>
          <t>D1</t>
        </is>
      </c>
      <c r="B19" s="7">
        <f>LEN(A19)-LEN(SUBSTITUTE(A19,",",""))+1</f>
        <v/>
      </c>
      <c r="C19" s="7" t="inlineStr">
        <is>
          <t>SMBJ5.0A</t>
        </is>
      </c>
      <c r="D19" s="7" t="inlineStr">
        <is>
          <t>D_SMB</t>
        </is>
      </c>
      <c r="E19" s="7" t="inlineStr">
        <is>
          <t>C78423</t>
        </is>
      </c>
      <c r="F19" s="7" t="inlineStr">
        <is>
          <t>SMBJ5.0A</t>
        </is>
      </c>
      <c r="G19" s="7" t="inlineStr">
        <is>
          <t>Brightking</t>
        </is>
      </c>
      <c r="H19" s="7" t="n"/>
      <c r="I19" s="7" t="n"/>
      <c r="J19" s="7" t="n"/>
      <c r="K19" s="7" t="n"/>
      <c r="L19" s="7" t="n"/>
      <c r="M19" s="7" t="inlineStr">
        <is>
          <t>Extended</t>
        </is>
      </c>
      <c r="N19" s="8" t="n">
        <v>113601</v>
      </c>
      <c r="O19" s="7" t="inlineStr">
        <is>
          <t>JLC SMT</t>
        </is>
      </c>
      <c r="P19" s="7" t="inlineStr">
        <is>
          <t>Top</t>
        </is>
      </c>
      <c r="Q19" s="7" t="inlineStr">
        <is>
          <t>power</t>
        </is>
      </c>
      <c r="R19" s="7" t="inlineStr">
        <is>
          <t>ESD / small-transient TVS only. Breakdown 6.4-7.07V is ABOVE the 6V abs max of U3/U4, so it does not protect them from a surge or a wrong (2S/3S) pack; a wrong pack makes it conduct continuously. Real over-voltage protection needs an OVP switch (open item).</t>
        </is>
      </c>
    </row>
    <row r="20" ht="23.85000038146973" customHeight="1" s="5">
      <c r="A20" s="7" t="inlineStr">
        <is>
          <t>D2</t>
        </is>
      </c>
      <c r="B20" s="7">
        <f>LEN(A20)-LEN(SUBSTITUTE(A20,",",""))+1</f>
        <v/>
      </c>
      <c r="C20" s="7" t="inlineStr">
        <is>
          <t>RS-3535MWAR-2JYJY-J</t>
        </is>
      </c>
      <c r="D20" s="7" t="inlineStr">
        <is>
          <t>LED-SMD_RS-3535MWAR-2JYJY-J</t>
        </is>
      </c>
      <c r="E20" s="7" t="inlineStr">
        <is>
          <t>C110402</t>
        </is>
      </c>
      <c r="F20" s="7" t="inlineStr">
        <is>
          <t>RS-3535MWAR</t>
        </is>
      </c>
      <c r="G20" s="7" t="inlineStr">
        <is>
          <t>NATIONSTAR</t>
        </is>
      </c>
      <c r="H20" s="7" t="n"/>
      <c r="I20" s="7" t="n"/>
      <c r="J20" s="7" t="n"/>
      <c r="K20" s="7" t="n"/>
      <c r="L20" s="7" t="n"/>
      <c r="M20" s="7" t="inlineStr">
        <is>
          <t>Extended</t>
        </is>
      </c>
      <c r="N20" s="8" t="n">
        <v>460049</v>
      </c>
      <c r="O20" s="7" t="inlineStr">
        <is>
          <t>JLC SMT</t>
        </is>
      </c>
      <c r="P20" s="7" t="inlineStr">
        <is>
          <t>Top</t>
        </is>
      </c>
      <c r="Q20" s="7" t="inlineStr">
        <is>
          <t>indicators</t>
        </is>
      </c>
      <c r="R20" s="7" t="inlineStr">
        <is>
          <t>RS-3535MWAR common anode on +3V3. Resistors set from the datasheet V-I curve: R 270R, G 330R, B 100R</t>
        </is>
      </c>
    </row>
    <row r="21" ht="15" customHeight="1" s="5">
      <c r="A21" s="7" t="inlineStr">
        <is>
          <t>D3</t>
        </is>
      </c>
      <c r="B21" s="7">
        <f>LEN(A21)-LEN(SUBSTITUTE(A21,",",""))+1</f>
        <v/>
      </c>
      <c r="C21" s="7" t="inlineStr">
        <is>
          <t>STM LED</t>
        </is>
      </c>
      <c r="D21" s="7" t="inlineStr">
        <is>
          <t>LED_0805_2012Metric</t>
        </is>
      </c>
      <c r="E21" s="7" t="inlineStr">
        <is>
          <t>C2296</t>
        </is>
      </c>
      <c r="F21" s="7" t="inlineStr">
        <is>
          <t>KT-0805Y</t>
        </is>
      </c>
      <c r="G21" s="7" t="inlineStr">
        <is>
          <t>Hubei KENTO</t>
        </is>
      </c>
      <c r="H21" s="7" t="n"/>
      <c r="I21" s="7" t="n"/>
      <c r="J21" s="7" t="n"/>
      <c r="K21" s="7" t="n"/>
      <c r="L21" s="7" t="n"/>
      <c r="M21" s="7" t="inlineStr">
        <is>
          <t>Basic</t>
        </is>
      </c>
      <c r="N21" s="8" t="n">
        <v>389526</v>
      </c>
      <c r="O21" s="7" t="inlineStr">
        <is>
          <t>JLC SMT</t>
        </is>
      </c>
      <c r="P21" s="7" t="inlineStr">
        <is>
          <t>Top</t>
        </is>
      </c>
      <c r="Q21" s="7" t="inlineStr">
        <is>
          <t>indicators</t>
        </is>
      </c>
      <c r="R21" s="7" t="n"/>
    </row>
    <row r="22" ht="15" customHeight="1" s="5">
      <c r="A22" s="7" t="inlineStr">
        <is>
          <t>D4</t>
        </is>
      </c>
      <c r="B22" s="7">
        <f>LEN(A22)-LEN(SUBSTITUTE(A22,",",""))+1</f>
        <v/>
      </c>
      <c r="C22" s="7" t="inlineStr">
        <is>
          <t>3V3 LED</t>
        </is>
      </c>
      <c r="D22" s="7" t="inlineStr">
        <is>
          <t>LED_0805_2012Metric</t>
        </is>
      </c>
      <c r="E22" s="7" t="inlineStr">
        <is>
          <t>C2296</t>
        </is>
      </c>
      <c r="F22" s="7" t="inlineStr">
        <is>
          <t>KT-0805Y</t>
        </is>
      </c>
      <c r="G22" s="7" t="inlineStr">
        <is>
          <t>Hubei KENTO</t>
        </is>
      </c>
      <c r="H22" s="7" t="n"/>
      <c r="I22" s="7" t="n"/>
      <c r="J22" s="7" t="n"/>
      <c r="K22" s="7" t="n"/>
      <c r="L22" s="7" t="n"/>
      <c r="M22" s="7" t="inlineStr">
        <is>
          <t>Basic</t>
        </is>
      </c>
      <c r="N22" s="8" t="n">
        <v>389526</v>
      </c>
      <c r="O22" s="7" t="inlineStr">
        <is>
          <t>JLC SMT</t>
        </is>
      </c>
      <c r="P22" s="7" t="inlineStr">
        <is>
          <t>Top</t>
        </is>
      </c>
      <c r="Q22" s="7" t="inlineStr">
        <is>
          <t>indicators</t>
        </is>
      </c>
      <c r="R22" s="7" t="n"/>
    </row>
    <row r="23" ht="15" customHeight="1" s="5">
      <c r="A23" s="7" t="inlineStr">
        <is>
          <t>D5</t>
        </is>
      </c>
      <c r="B23" s="7">
        <f>LEN(A23)-LEN(SUBSTITUTE(A23,",",""))+1</f>
        <v/>
      </c>
      <c r="C23" s="7" t="inlineStr">
        <is>
          <t>USB LED</t>
        </is>
      </c>
      <c r="D23" s="7" t="inlineStr">
        <is>
          <t>LED_0805_2012Metric</t>
        </is>
      </c>
      <c r="E23" s="7" t="inlineStr">
        <is>
          <t>C2296</t>
        </is>
      </c>
      <c r="F23" s="7" t="inlineStr">
        <is>
          <t>KT-0805Y</t>
        </is>
      </c>
      <c r="G23" s="7" t="inlineStr">
        <is>
          <t>Hubei KENTO</t>
        </is>
      </c>
      <c r="H23" s="7" t="n"/>
      <c r="I23" s="7" t="n"/>
      <c r="J23" s="7" t="n"/>
      <c r="K23" s="7" t="n"/>
      <c r="L23" s="7" t="n"/>
      <c r="M23" s="7" t="inlineStr">
        <is>
          <t>Basic</t>
        </is>
      </c>
      <c r="N23" s="8" t="n">
        <v>389526</v>
      </c>
      <c r="O23" s="7" t="inlineStr">
        <is>
          <t>JLC SMT</t>
        </is>
      </c>
      <c r="P23" s="7" t="inlineStr">
        <is>
          <t>Top</t>
        </is>
      </c>
      <c r="Q23" s="7" t="inlineStr">
        <is>
          <t>indicators</t>
        </is>
      </c>
      <c r="R23" s="7" t="n"/>
    </row>
    <row r="24" ht="15" customHeight="1" s="5">
      <c r="A24" s="7" t="inlineStr">
        <is>
          <t>D6</t>
        </is>
      </c>
      <c r="B24" s="7">
        <f>LEN(A24)-LEN(SUBSTITUTE(A24,",",""))+1</f>
        <v/>
      </c>
      <c r="C24" s="7" t="inlineStr">
        <is>
          <t>ARM LED</t>
        </is>
      </c>
      <c r="D24" s="7" t="inlineStr">
        <is>
          <t>LED_0805_2012Metric</t>
        </is>
      </c>
      <c r="E24" s="7" t="inlineStr">
        <is>
          <t>C2296</t>
        </is>
      </c>
      <c r="F24" s="7" t="inlineStr">
        <is>
          <t>KT-0805Y</t>
        </is>
      </c>
      <c r="G24" s="7" t="inlineStr">
        <is>
          <t>Hubei KENTO</t>
        </is>
      </c>
      <c r="H24" s="7" t="n"/>
      <c r="I24" s="7" t="n"/>
      <c r="J24" s="7" t="n"/>
      <c r="K24" s="7" t="n"/>
      <c r="L24" s="7" t="n"/>
      <c r="M24" s="7" t="inlineStr">
        <is>
          <t>Basic</t>
        </is>
      </c>
      <c r="N24" s="8" t="n">
        <v>389526</v>
      </c>
      <c r="O24" s="7" t="inlineStr">
        <is>
          <t>JLC SMT</t>
        </is>
      </c>
      <c r="P24" s="7" t="inlineStr">
        <is>
          <t>Top</t>
        </is>
      </c>
      <c r="Q24" s="7" t="inlineStr">
        <is>
          <t>indicators</t>
        </is>
      </c>
      <c r="R24" s="7" t="n"/>
    </row>
    <row r="25" ht="15" customHeight="1" s="5">
      <c r="A25" s="7" t="inlineStr">
        <is>
          <t>D7, D8</t>
        </is>
      </c>
      <c r="B25" s="7">
        <f>LEN(A25)-LEN(SUBSTITUTE(A25,",",""))+1</f>
        <v/>
      </c>
      <c r="C25" s="7" t="inlineStr">
        <is>
          <t>LED red</t>
        </is>
      </c>
      <c r="D25" s="7" t="inlineStr">
        <is>
          <t>LED_0603_1608Metric</t>
        </is>
      </c>
      <c r="E25" s="7" t="inlineStr">
        <is>
          <t>C2286</t>
        </is>
      </c>
      <c r="F25" s="7" t="inlineStr">
        <is>
          <t>KT-0603R</t>
        </is>
      </c>
      <c r="G25" s="7" t="inlineStr">
        <is>
          <t>Hubei KENTO</t>
        </is>
      </c>
      <c r="H25" s="7" t="n"/>
      <c r="I25" s="7" t="n"/>
      <c r="J25" s="7" t="n"/>
      <c r="K25" s="7" t="n"/>
      <c r="L25" s="7" t="n"/>
      <c r="M25" s="7" t="inlineStr">
        <is>
          <t>Basic</t>
        </is>
      </c>
      <c r="N25" s="8" t="n">
        <v>4815898</v>
      </c>
      <c r="O25" s="7" t="inlineStr">
        <is>
          <t>JLC SMT</t>
        </is>
      </c>
      <c r="P25" s="7" t="inlineStr">
        <is>
          <t>Top</t>
        </is>
      </c>
      <c r="Q25" s="7" t="inlineStr">
        <is>
          <t>igniter</t>
        </is>
      </c>
      <c r="R25" s="7" t="n"/>
    </row>
    <row r="26" ht="15" customHeight="1" s="5">
      <c r="A26" s="7" t="inlineStr">
        <is>
          <t>D9, D10</t>
        </is>
      </c>
      <c r="B26" s="7">
        <f>LEN(A26)-LEN(SUBSTITUTE(A26,",",""))+1</f>
        <v/>
      </c>
      <c r="C26" s="7" t="inlineStr">
        <is>
          <t>1N4148W</t>
        </is>
      </c>
      <c r="D26" s="7" t="inlineStr">
        <is>
          <t>D_SOD-123</t>
        </is>
      </c>
      <c r="E26" s="7" t="inlineStr">
        <is>
          <t>C81598</t>
        </is>
      </c>
      <c r="F26" s="7" t="inlineStr">
        <is>
          <t>1N4148W</t>
        </is>
      </c>
      <c r="G26" s="7" t="inlineStr">
        <is>
          <t>ST(Semtech)</t>
        </is>
      </c>
      <c r="H26" s="7" t="n"/>
      <c r="I26" s="7" t="n"/>
      <c r="J26" s="7" t="n"/>
      <c r="K26" s="7" t="n"/>
      <c r="L26" s="7" t="n"/>
      <c r="M26" s="7" t="inlineStr">
        <is>
          <t>Basic</t>
        </is>
      </c>
      <c r="N26" s="8" t="n">
        <v>5168664</v>
      </c>
      <c r="O26" s="7" t="inlineStr">
        <is>
          <t>JLC SMT</t>
        </is>
      </c>
      <c r="P26" s="7" t="inlineStr">
        <is>
          <t>Top</t>
        </is>
      </c>
      <c r="Q26" s="7" t="inlineStr">
        <is>
          <t>igniter</t>
        </is>
      </c>
      <c r="R26" s="7" t="n"/>
    </row>
    <row r="27" ht="15" customHeight="1" s="5">
      <c r="A27" s="7" t="inlineStr">
        <is>
          <t>F1, F2</t>
        </is>
      </c>
      <c r="B27" s="7">
        <f>LEN(A27)-LEN(SUBSTITUTE(A27,",",""))+1</f>
        <v/>
      </c>
      <c r="C27" s="7" t="inlineStr">
        <is>
          <t>1812L150/24MR</t>
        </is>
      </c>
      <c r="D27" s="7" t="inlineStr">
        <is>
          <t>Fuse_1812_4532Metric</t>
        </is>
      </c>
      <c r="E27" s="7" t="inlineStr">
        <is>
          <t>C142805</t>
        </is>
      </c>
      <c r="F27" s="7" t="inlineStr">
        <is>
          <t>1812L150/24MR</t>
        </is>
      </c>
      <c r="G27" s="7" t="inlineStr">
        <is>
          <t>Littelfuse</t>
        </is>
      </c>
      <c r="H27" s="7" t="n"/>
      <c r="I27" s="7" t="n"/>
      <c r="J27" s="7" t="n"/>
      <c r="K27" s="7" t="n"/>
      <c r="L27" s="7" t="n"/>
      <c r="M27" s="7" t="inlineStr">
        <is>
          <t>Extended</t>
        </is>
      </c>
      <c r="N27" s="8" t="n">
        <v>14071</v>
      </c>
      <c r="O27" s="7" t="inlineStr">
        <is>
          <t>JLC SMT</t>
        </is>
      </c>
      <c r="P27" s="7" t="inlineStr">
        <is>
          <t>Top</t>
        </is>
      </c>
      <c r="Q27" s="7" t="inlineStr">
        <is>
          <t>igniter</t>
        </is>
      </c>
      <c r="R27" s="7" t="n"/>
    </row>
    <row r="28" ht="15" customHeight="1" s="5">
      <c r="A28" s="7" t="inlineStr">
        <is>
          <t>FB1</t>
        </is>
      </c>
      <c r="B28" s="7">
        <f>LEN(A28)-LEN(SUBSTITUTE(A28,",",""))+1</f>
        <v/>
      </c>
      <c r="C28" s="7" t="inlineStr">
        <is>
          <t>100</t>
        </is>
      </c>
      <c r="D28" s="7" t="inlineStr">
        <is>
          <t>L_0805_2012Metric</t>
        </is>
      </c>
      <c r="E28" s="7" t="inlineStr">
        <is>
          <t>C1015</t>
        </is>
      </c>
      <c r="F28" s="7" t="inlineStr">
        <is>
          <t>GZ2012D101TF</t>
        </is>
      </c>
      <c r="G28" s="7" t="inlineStr">
        <is>
          <t>Sunlord</t>
        </is>
      </c>
      <c r="H28" s="7" t="n"/>
      <c r="I28" s="7" t="n"/>
      <c r="J28" s="7" t="n"/>
      <c r="K28" s="7" t="n"/>
      <c r="L28" s="7" t="n"/>
      <c r="M28" s="7" t="inlineStr">
        <is>
          <t>Basic</t>
        </is>
      </c>
      <c r="N28" s="8" t="n">
        <v>2341388</v>
      </c>
      <c r="O28" s="7" t="inlineStr">
        <is>
          <t>JLC SMT</t>
        </is>
      </c>
      <c r="P28" s="7" t="inlineStr">
        <is>
          <t>Top</t>
        </is>
      </c>
      <c r="Q28" s="7" t="inlineStr">
        <is>
          <t>mcu</t>
        </is>
      </c>
      <c r="R28" s="7" t="n"/>
    </row>
    <row r="29" ht="23.85000038146973" customHeight="1" s="5">
      <c r="A29" s="7" t="inlineStr">
        <is>
          <t>FL1</t>
        </is>
      </c>
      <c r="B29" s="7">
        <f>LEN(A29)-LEN(SUBSTITUTE(A29,",",""))+1</f>
        <v/>
      </c>
      <c r="C29" s="7" t="inlineStr">
        <is>
          <t>B39162B4300F210</t>
        </is>
      </c>
      <c r="D29" s="7" t="inlineStr">
        <is>
          <t>FILTER-SMD_5P-L1.4-W1.1_RSFPXXXXD</t>
        </is>
      </c>
      <c r="E29" s="7" t="inlineStr">
        <is>
          <t>C2650962</t>
        </is>
      </c>
      <c r="F29" s="7" t="inlineStr">
        <is>
          <t>B39162B4300F210</t>
        </is>
      </c>
      <c r="G29" s="7" t="inlineStr">
        <is>
          <t>Qualcomm (RF360)</t>
        </is>
      </c>
      <c r="H29" s="7" t="n"/>
      <c r="I29" s="7" t="n"/>
      <c r="J29" s="7" t="n"/>
      <c r="K29" s="7" t="n"/>
      <c r="L29" s="7" t="n"/>
      <c r="M29" s="7" t="inlineStr">
        <is>
          <t>Extended</t>
        </is>
      </c>
      <c r="N29" s="8" t="n">
        <v>4559</v>
      </c>
      <c r="O29" s="7" t="inlineStr">
        <is>
          <t>JLC SMT</t>
        </is>
      </c>
      <c r="P29" s="7" t="inlineStr">
        <is>
          <t>Top</t>
        </is>
      </c>
      <c r="Q29" s="7" t="inlineStr">
        <is>
          <t>sensors</t>
        </is>
      </c>
      <c r="R29" s="7" t="n"/>
    </row>
    <row r="30" ht="23.85000038146973" customHeight="1" s="5">
      <c r="A30" s="7" t="inlineStr">
        <is>
          <t>J1</t>
        </is>
      </c>
      <c r="B30" s="7">
        <f>LEN(A30)-LEN(SUBSTITUTE(A30,",",""))+1</f>
        <v/>
      </c>
      <c r="C30" s="7" t="inlineStr">
        <is>
          <t>FTSH-107-STDC14</t>
        </is>
      </c>
      <c r="D30" s="7" t="inlineStr">
        <is>
          <t>STDC14_SAMTEC_FTSH-107-01-L-DV-K-A</t>
        </is>
      </c>
      <c r="E30" s="7" t="inlineStr">
        <is>
          <t>C5563894</t>
        </is>
      </c>
      <c r="F30" s="7" t="inlineStr">
        <is>
          <t>FTSH-107-01-L-DV-K-A</t>
        </is>
      </c>
      <c r="G30" s="7" t="inlineStr">
        <is>
          <t>Samtec</t>
        </is>
      </c>
      <c r="H30" s="7" t="n"/>
      <c r="I30" s="7" t="n"/>
      <c r="J30" s="7" t="n"/>
      <c r="K30" s="7" t="n"/>
      <c r="L30" s="7" t="n"/>
      <c r="M30" s="7" t="inlineStr">
        <is>
          <t>Extended</t>
        </is>
      </c>
      <c r="N30" s="8" t="n">
        <v>540</v>
      </c>
      <c r="O30" s="7" t="inlineStr">
        <is>
          <t>JLC SMT</t>
        </is>
      </c>
      <c r="P30" s="7" t="inlineStr">
        <is>
          <t>Top</t>
        </is>
      </c>
      <c r="Q30" s="7" t="inlineStr">
        <is>
          <t>swd</t>
        </is>
      </c>
      <c r="R30" s="7" t="n"/>
    </row>
    <row r="31" ht="35.04999923706055" customHeight="1" s="5">
      <c r="A31" s="7" t="inlineStr">
        <is>
          <t>J2</t>
        </is>
      </c>
      <c r="B31" s="7">
        <f>LEN(A31)-LEN(SUBSTITUTE(A31,",",""))+1</f>
        <v/>
      </c>
      <c r="C31" s="7" t="inlineStr">
        <is>
          <t>Battery (ext.)</t>
        </is>
      </c>
      <c r="D31" s="7" t="inlineStr">
        <is>
          <t>AMASS_XT30UPB-M_1x02_P5.0mm_Vertical</t>
        </is>
      </c>
      <c r="E31" s="7" t="inlineStr">
        <is>
          <t>C428721</t>
        </is>
      </c>
      <c r="F31" s="7" t="inlineStr">
        <is>
          <t>XT30UPB-M</t>
        </is>
      </c>
      <c r="G31" s="7" t="inlineStr">
        <is>
          <t>Changzhou Amass Elec</t>
        </is>
      </c>
      <c r="H31" s="7" t="n"/>
      <c r="I31" s="7" t="n"/>
      <c r="J31" s="7" t="n"/>
      <c r="K31" s="7" t="n"/>
      <c r="L31" s="7" t="n"/>
      <c r="M31" s="7" t="inlineStr">
        <is>
          <t>Extended</t>
        </is>
      </c>
      <c r="N31" s="8" t="inlineStr">
        <is>
          <t>re-check</t>
        </is>
      </c>
      <c r="O31" s="7" t="inlineStr">
        <is>
          <t>Hand-solder (bottom side)</t>
        </is>
      </c>
      <c r="P31" s="7" t="inlineStr">
        <is>
          <t>Bottom</t>
        </is>
      </c>
      <c r="Q31" s="7" t="inlineStr">
        <is>
          <t>power</t>
        </is>
      </c>
      <c r="R31" s="7" t="inlineStr">
        <is>
          <t>External 1S battery (+BATT pin 1 / GND pin 2), bottom side, hand-solder. AMASS XT30UPB-M vertical male PCB connector, 15A continuous. Mates XT30U-F on the battery lead. Check +/- marking on the housing matches pin 1 = +BATT before soldering.</t>
        </is>
      </c>
    </row>
    <row r="32" ht="23.85000038146973" customHeight="1" s="5">
      <c r="A32" s="7" t="inlineStr">
        <is>
          <t>J3</t>
        </is>
      </c>
      <c r="B32" s="7">
        <f>LEN(A32)-LEN(SUBSTITUTE(A32,",",""))+1</f>
        <v/>
      </c>
      <c r="C32" s="7" t="inlineStr">
        <is>
          <t>USB_C_Receptacle_USB2.0_16P</t>
        </is>
      </c>
      <c r="D32" s="7" t="inlineStr">
        <is>
          <t>USB_C_Receptacle_HRO_TYPE-C-31-M-12</t>
        </is>
      </c>
      <c r="E32" s="7" t="inlineStr">
        <is>
          <t>C165948</t>
        </is>
      </c>
      <c r="F32" s="7" t="inlineStr">
        <is>
          <t>TYPE-C-31-M-12</t>
        </is>
      </c>
      <c r="G32" s="7" t="inlineStr">
        <is>
          <t>Korean Hroparts</t>
        </is>
      </c>
      <c r="H32" s="7" t="n"/>
      <c r="I32" s="7" t="n"/>
      <c r="J32" s="7" t="n"/>
      <c r="K32" s="7" t="n"/>
      <c r="L32" s="7" t="n"/>
      <c r="M32" s="7" t="inlineStr">
        <is>
          <t>Extended</t>
        </is>
      </c>
      <c r="N32" s="8" t="n">
        <v>426143</v>
      </c>
      <c r="O32" s="7" t="inlineStr">
        <is>
          <t>JLC THT</t>
        </is>
      </c>
      <c r="P32" s="7" t="inlineStr">
        <is>
          <t>Top</t>
        </is>
      </c>
      <c r="Q32" s="7" t="inlineStr">
        <is>
          <t>power</t>
        </is>
      </c>
      <c r="R32" s="7" t="n"/>
    </row>
    <row r="33" ht="23.85000038146973" customHeight="1" s="5">
      <c r="A33" s="7" t="inlineStr">
        <is>
          <t>J4</t>
        </is>
      </c>
      <c r="B33" s="7">
        <f>LEN(A33)-LEN(SUBSTITUTE(A33,",",""))+1</f>
        <v/>
      </c>
      <c r="C33" s="7" t="inlineStr">
        <is>
          <t>SMA</t>
        </is>
      </c>
      <c r="D33" s="7" t="inlineStr">
        <is>
          <t>SMA_BAT-Wireless_BWSMA-KE-Z001_Vertical</t>
        </is>
      </c>
      <c r="E33" s="7" t="inlineStr">
        <is>
          <t>C496549</t>
        </is>
      </c>
      <c r="F33" s="7" t="inlineStr">
        <is>
          <t>BWSMA-KE-Z001</t>
        </is>
      </c>
      <c r="G33" s="7" t="inlineStr">
        <is>
          <t>BAT WIRELESS</t>
        </is>
      </c>
      <c r="H33" s="7" t="n"/>
      <c r="I33" s="7" t="n"/>
      <c r="J33" s="7" t="n"/>
      <c r="K33" s="7" t="n"/>
      <c r="L33" s="7" t="n"/>
      <c r="M33" s="7" t="inlineStr">
        <is>
          <t>Extended</t>
        </is>
      </c>
      <c r="N33" s="8" t="n">
        <v>137898</v>
      </c>
      <c r="O33" s="7" t="inlineStr">
        <is>
          <t>JLC THT</t>
        </is>
      </c>
      <c r="P33" s="7" t="inlineStr">
        <is>
          <t>Top</t>
        </is>
      </c>
      <c r="Q33" s="7" t="inlineStr">
        <is>
          <t>lora</t>
        </is>
      </c>
      <c r="R33" s="7" t="inlineStr">
        <is>
          <t>50 ohm. Route ANT-SMA as a short 50R coplanar trace over solid GND.</t>
        </is>
      </c>
    </row>
    <row r="34" ht="23.85000038146973" customHeight="1" s="5">
      <c r="A34" s="7" t="inlineStr">
        <is>
          <t>J5</t>
        </is>
      </c>
      <c r="B34" s="7">
        <f>LEN(A34)-LEN(SUBSTITUTE(A34,",",""))+1</f>
        <v/>
      </c>
      <c r="C34" s="7" t="inlineStr">
        <is>
          <t>TF-102-15_SD_read</t>
        </is>
      </c>
      <c r="D34" s="7" t="inlineStr">
        <is>
          <t>TF-SMD_TF-102-15</t>
        </is>
      </c>
      <c r="E34" s="7" t="inlineStr">
        <is>
          <t>C266609</t>
        </is>
      </c>
      <c r="F34" s="7" t="inlineStr">
        <is>
          <t>TF-102-15</t>
        </is>
      </c>
      <c r="G34" s="7" t="inlineStr">
        <is>
          <t>XUNPU</t>
        </is>
      </c>
      <c r="H34" s="7" t="n"/>
      <c r="I34" s="7" t="n"/>
      <c r="J34" s="7" t="n"/>
      <c r="K34" s="7" t="n"/>
      <c r="L34" s="7" t="n"/>
      <c r="M34" s="7" t="inlineStr">
        <is>
          <t>Extended</t>
        </is>
      </c>
      <c r="N34" s="8" t="n">
        <v>19063</v>
      </c>
      <c r="O34" s="7" t="inlineStr">
        <is>
          <t>JLC SMT</t>
        </is>
      </c>
      <c r="P34" s="7" t="inlineStr">
        <is>
          <t>Top</t>
        </is>
      </c>
      <c r="Q34" s="7" t="inlineStr">
        <is>
          <t>sd</t>
        </is>
      </c>
      <c r="R34" s="7" t="n"/>
    </row>
    <row r="35" ht="15" customHeight="1" s="5">
      <c r="A35" s="7" t="inlineStr">
        <is>
          <t>J6, J8</t>
        </is>
      </c>
      <c r="B35" s="7">
        <f>LEN(A35)-LEN(SUBSTITUTE(A35,",",""))+1</f>
        <v/>
      </c>
      <c r="C35" s="7" t="inlineStr">
        <is>
          <t>StemmaQT</t>
        </is>
      </c>
      <c r="D35" s="7" t="inlineStr">
        <is>
          <t>StemmaQT</t>
        </is>
      </c>
      <c r="E35" s="7" t="inlineStr">
        <is>
          <t>C160390</t>
        </is>
      </c>
      <c r="F35" s="7" t="inlineStr">
        <is>
          <t>BM04B-SRSS-TB(LF)(SN)</t>
        </is>
      </c>
      <c r="G35" s="7" t="inlineStr">
        <is>
          <t>JST</t>
        </is>
      </c>
      <c r="H35" s="7" t="n"/>
      <c r="I35" s="7" t="n"/>
      <c r="J35" s="7" t="n"/>
      <c r="K35" s="7" t="n"/>
      <c r="L35" s="7" t="n"/>
      <c r="M35" s="7" t="inlineStr">
        <is>
          <t>Extended</t>
        </is>
      </c>
      <c r="N35" s="8" t="n">
        <v>52346</v>
      </c>
      <c r="O35" s="7" t="inlineStr">
        <is>
          <t>JLC SMT</t>
        </is>
      </c>
      <c r="P35" s="7" t="inlineStr">
        <is>
          <t>Top</t>
        </is>
      </c>
      <c r="Q35" s="7" t="inlineStr">
        <is>
          <t>external</t>
        </is>
      </c>
      <c r="R35" s="7" t="n"/>
    </row>
    <row r="36" ht="23.85000038146973" customHeight="1" s="5">
      <c r="A36" s="7" t="inlineStr">
        <is>
          <t>J7</t>
        </is>
      </c>
      <c r="B36" s="7">
        <f>LEN(A36)-LEN(SUBSTITUTE(A36,",",""))+1</f>
        <v/>
      </c>
      <c r="C36" s="7" t="inlineStr">
        <is>
          <t>Conn_01x04_Pin</t>
        </is>
      </c>
      <c r="D36" s="7" t="inlineStr">
        <is>
          <t>JST_GH_BM04B-GHS-TBT_1x04-1MP_P1.25mm_Vertical</t>
        </is>
      </c>
      <c r="E36" s="7" t="inlineStr">
        <is>
          <t>C161692</t>
        </is>
      </c>
      <c r="F36" s="7" t="inlineStr">
        <is>
          <t>BM04B-GHS-TBT(LF)(SN)</t>
        </is>
      </c>
      <c r="G36" s="7" t="inlineStr">
        <is>
          <t>JST</t>
        </is>
      </c>
      <c r="H36" s="7" t="n"/>
      <c r="I36" s="7" t="n"/>
      <c r="J36" s="7" t="n"/>
      <c r="K36" s="7" t="n"/>
      <c r="L36" s="7" t="n"/>
      <c r="M36" s="7" t="inlineStr">
        <is>
          <t>Extended</t>
        </is>
      </c>
      <c r="N36" s="8" t="n">
        <v>14065</v>
      </c>
      <c r="O36" s="7" t="inlineStr">
        <is>
          <t>JLC SMT</t>
        </is>
      </c>
      <c r="P36" s="7" t="inlineStr">
        <is>
          <t>Top</t>
        </is>
      </c>
      <c r="Q36" s="7" t="inlineStr">
        <is>
          <t>external</t>
        </is>
      </c>
      <c r="R36" s="7" t="n"/>
    </row>
    <row r="37" ht="15" customHeight="1" s="5">
      <c r="A37" s="7" t="inlineStr">
        <is>
          <t>J9</t>
        </is>
      </c>
      <c r="B37" s="7">
        <f>LEN(A37)-LEN(SUBSTITUTE(A37,",",""))+1</f>
        <v/>
      </c>
      <c r="C37" s="7" t="inlineStr">
        <is>
          <t>GPIO_PE2-PE6</t>
        </is>
      </c>
      <c r="D37" s="7" t="inlineStr">
        <is>
          <t>PinHeader_1x07_P2.54mm_Vertical</t>
        </is>
      </c>
      <c r="E37" s="7" t="inlineStr">
        <is>
          <t>C492406</t>
        </is>
      </c>
      <c r="F37" s="7" t="inlineStr">
        <is>
          <t>PZ254V-11-07P</t>
        </is>
      </c>
      <c r="G37" s="7" t="inlineStr">
        <is>
          <t>XFCN</t>
        </is>
      </c>
      <c r="H37" s="7" t="n"/>
      <c r="I37" s="7" t="n"/>
      <c r="J37" s="7" t="n"/>
      <c r="K37" s="7" t="n"/>
      <c r="L37" s="7" t="n"/>
      <c r="M37" s="7" t="inlineStr">
        <is>
          <t>Extended</t>
        </is>
      </c>
      <c r="N37" s="8" t="n">
        <v>50677</v>
      </c>
      <c r="O37" s="7" t="inlineStr">
        <is>
          <t>JLC THT</t>
        </is>
      </c>
      <c r="P37" s="7" t="inlineStr">
        <is>
          <t>Top</t>
        </is>
      </c>
      <c r="Q37" s="7" t="inlineStr">
        <is>
          <t>external</t>
        </is>
      </c>
      <c r="R37" s="7" t="n"/>
    </row>
    <row r="38" ht="15" customHeight="1" s="5">
      <c r="A38" s="7" t="inlineStr">
        <is>
          <t>J10</t>
        </is>
      </c>
      <c r="B38" s="7">
        <f>LEN(A38)-LEN(SUBSTITUTE(A38,",",""))+1</f>
        <v/>
      </c>
      <c r="C38" s="7" t="inlineStr">
        <is>
          <t>GPIO_PE7-PE11</t>
        </is>
      </c>
      <c r="D38" s="7" t="inlineStr">
        <is>
          <t>PinHeader_1x07_P2.54mm_Vertical</t>
        </is>
      </c>
      <c r="E38" s="7" t="inlineStr">
        <is>
          <t>C492406</t>
        </is>
      </c>
      <c r="F38" s="7" t="inlineStr">
        <is>
          <t>PZ254V-11-07P</t>
        </is>
      </c>
      <c r="G38" s="7" t="inlineStr">
        <is>
          <t>XFCN</t>
        </is>
      </c>
      <c r="H38" s="7" t="n"/>
      <c r="I38" s="7" t="n"/>
      <c r="J38" s="7" t="n"/>
      <c r="K38" s="7" t="n"/>
      <c r="L38" s="7" t="n"/>
      <c r="M38" s="7" t="inlineStr">
        <is>
          <t>Extended</t>
        </is>
      </c>
      <c r="N38" s="8" t="n">
        <v>50677</v>
      </c>
      <c r="O38" s="7" t="inlineStr">
        <is>
          <t>JLC THT</t>
        </is>
      </c>
      <c r="P38" s="7" t="inlineStr">
        <is>
          <t>Top</t>
        </is>
      </c>
      <c r="Q38" s="7" t="inlineStr">
        <is>
          <t>external</t>
        </is>
      </c>
      <c r="R38" s="7" t="n"/>
    </row>
    <row r="39" ht="23.85000038146973" customHeight="1" s="5">
      <c r="A39" s="7" t="inlineStr">
        <is>
          <t>J11</t>
        </is>
      </c>
      <c r="B39" s="7">
        <f>LEN(A39)-LEN(SUBSTITUTE(A39,",",""))+1</f>
        <v/>
      </c>
      <c r="C39" s="7" t="inlineStr">
        <is>
          <t>USART3</t>
        </is>
      </c>
      <c r="D39" s="7" t="inlineStr">
        <is>
          <t>JST_GH_BM04B-GHS-TBT_1x04-1MP_P1.25mm_Vertical</t>
        </is>
      </c>
      <c r="E39" s="7" t="inlineStr">
        <is>
          <t>C161692</t>
        </is>
      </c>
      <c r="F39" s="7" t="inlineStr">
        <is>
          <t>BM04B-GHS-TBT(LF)(SN)</t>
        </is>
      </c>
      <c r="G39" s="7" t="inlineStr">
        <is>
          <t>JST</t>
        </is>
      </c>
      <c r="H39" s="7" t="n"/>
      <c r="I39" s="7" t="n"/>
      <c r="J39" s="7" t="n"/>
      <c r="K39" s="7" t="n"/>
      <c r="L39" s="7" t="n"/>
      <c r="M39" s="7" t="inlineStr">
        <is>
          <t>Extended</t>
        </is>
      </c>
      <c r="N39" s="8" t="n">
        <v>14065</v>
      </c>
      <c r="O39" s="7" t="inlineStr">
        <is>
          <t>JLC SMT</t>
        </is>
      </c>
      <c r="P39" s="7" t="inlineStr">
        <is>
          <t>Top</t>
        </is>
      </c>
      <c r="Q39" s="7" t="inlineStr">
        <is>
          <t>external</t>
        </is>
      </c>
      <c r="R39" s="7" t="n"/>
    </row>
    <row r="40" ht="23.85000038146973" customHeight="1" s="5">
      <c r="A40" s="7" t="inlineStr">
        <is>
          <t>J12</t>
        </is>
      </c>
      <c r="B40" s="7">
        <f>LEN(A40)-LEN(SUBSTITUTE(A40,",",""))+1</f>
        <v/>
      </c>
      <c r="C40" s="7" t="inlineStr">
        <is>
          <t>LPUART1</t>
        </is>
      </c>
      <c r="D40" s="7" t="inlineStr">
        <is>
          <t>JST_GH_BM04B-GHS-TBT_1x04-1MP_P1.25mm_Vertical</t>
        </is>
      </c>
      <c r="E40" s="7" t="inlineStr">
        <is>
          <t>C161692</t>
        </is>
      </c>
      <c r="F40" s="7" t="inlineStr">
        <is>
          <t>BM04B-GHS-TBT(LF)(SN)</t>
        </is>
      </c>
      <c r="G40" s="7" t="inlineStr">
        <is>
          <t>JST</t>
        </is>
      </c>
      <c r="H40" s="7" t="n"/>
      <c r="I40" s="7" t="n"/>
      <c r="J40" s="7" t="n"/>
      <c r="K40" s="7" t="n"/>
      <c r="L40" s="7" t="n"/>
      <c r="M40" s="7" t="inlineStr">
        <is>
          <t>Extended</t>
        </is>
      </c>
      <c r="N40" s="8" t="n">
        <v>14065</v>
      </c>
      <c r="O40" s="7" t="inlineStr">
        <is>
          <t>JLC SMT</t>
        </is>
      </c>
      <c r="P40" s="7" t="inlineStr">
        <is>
          <t>Top</t>
        </is>
      </c>
      <c r="Q40" s="7" t="inlineStr">
        <is>
          <t>external</t>
        </is>
      </c>
      <c r="R40" s="7" t="n"/>
    </row>
    <row r="41" ht="35.04999923706055" customHeight="1" s="5">
      <c r="A41" s="7" t="inlineStr">
        <is>
          <t>J13</t>
        </is>
      </c>
      <c r="B41" s="7">
        <f>LEN(A41)-LEN(SUBSTITUTE(A41,",",""))+1</f>
        <v/>
      </c>
      <c r="C41" s="7" t="inlineStr">
        <is>
          <t>Screw_Terminal_01x02</t>
        </is>
      </c>
      <c r="D41" s="7" t="inlineStr">
        <is>
          <t>TerminalBlock_Kangnex_WJ128V-5.0-2P_C8269</t>
        </is>
      </c>
      <c r="E41" s="7" t="inlineStr">
        <is>
          <t>C8269</t>
        </is>
      </c>
      <c r="F41" s="7" t="inlineStr">
        <is>
          <t>WJ128V-5.0-02P-14-00A</t>
        </is>
      </c>
      <c r="G41" s="7" t="inlineStr">
        <is>
          <t>KANGNEX</t>
        </is>
      </c>
      <c r="H41" s="7" t="n"/>
      <c r="I41" s="7" t="n"/>
      <c r="J41" s="7" t="n"/>
      <c r="K41" s="7" t="n"/>
      <c r="L41" s="7" t="n"/>
      <c r="M41" s="7" t="inlineStr">
        <is>
          <t>Unverified</t>
        </is>
      </c>
      <c r="N41" s="8" t="n"/>
      <c r="O41" s="7" t="inlineStr">
        <is>
          <t>Hand-solder (bottom side)</t>
        </is>
      </c>
      <c r="P41" s="7" t="inlineStr">
        <is>
          <t>Bottom</t>
        </is>
      </c>
      <c r="Q41" s="7" t="inlineStr">
        <is>
          <t>igniter</t>
        </is>
      </c>
      <c r="R41" s="7" t="inlineStr">
        <is>
          <t>DROGUE (CH0), bottom side, hand-solder. Fixed 2-pin screw terminal, 5.0 mm pitch; no mating plug. Datasheet: https://www.lcsc.com/datasheet/C8269.pdf</t>
        </is>
      </c>
    </row>
    <row r="42" ht="35.04999923706055" customHeight="1" s="5">
      <c r="A42" s="7" t="inlineStr">
        <is>
          <t>J14</t>
        </is>
      </c>
      <c r="B42" s="7">
        <f>LEN(A42)-LEN(SUBSTITUTE(A42,",",""))+1</f>
        <v/>
      </c>
      <c r="C42" s="7" t="inlineStr">
        <is>
          <t>Screw_Terminal_01x02</t>
        </is>
      </c>
      <c r="D42" s="7" t="inlineStr">
        <is>
          <t>TerminalBlock_Kangnex_WJ128V-5.0-2P_C8269</t>
        </is>
      </c>
      <c r="E42" s="7" t="inlineStr">
        <is>
          <t>C8269</t>
        </is>
      </c>
      <c r="F42" s="7" t="inlineStr">
        <is>
          <t>WJ128V-5.0-02P-14-00A</t>
        </is>
      </c>
      <c r="G42" s="7" t="inlineStr">
        <is>
          <t>KANGNEX</t>
        </is>
      </c>
      <c r="H42" s="7" t="n"/>
      <c r="I42" s="7" t="n"/>
      <c r="J42" s="7" t="n"/>
      <c r="K42" s="7" t="n"/>
      <c r="L42" s="7" t="n"/>
      <c r="M42" s="7" t="inlineStr">
        <is>
          <t>Unverified</t>
        </is>
      </c>
      <c r="N42" s="8" t="n"/>
      <c r="O42" s="7" t="inlineStr">
        <is>
          <t>JLC THT</t>
        </is>
      </c>
      <c r="P42" s="7" t="inlineStr">
        <is>
          <t>Top</t>
        </is>
      </c>
      <c r="Q42" s="7" t="inlineStr">
        <is>
          <t>igniter</t>
        </is>
      </c>
      <c r="R42" s="7" t="inlineStr">
        <is>
          <t>MAIN (CH1), top side. Fixed 2-pin screw terminal, 5.0 mm pitch; no mating plug. Datasheet: https://www.lcsc.com/datasheet/C8269.pdf</t>
        </is>
      </c>
    </row>
    <row r="43" ht="23.85000038146973" customHeight="1" s="5">
      <c r="A43" s="7" t="inlineStr">
        <is>
          <t>L1</t>
        </is>
      </c>
      <c r="B43" s="7">
        <f>LEN(A43)-LEN(SUBSTITUTE(A43,",",""))+1</f>
        <v/>
      </c>
      <c r="C43" s="7" t="inlineStr">
        <is>
          <t>0.47u</t>
        </is>
      </c>
      <c r="D43" s="7" t="inlineStr">
        <is>
          <t>L_Coilcraft_XxL4020</t>
        </is>
      </c>
      <c r="E43" s="7" t="inlineStr">
        <is>
          <t>C18221164</t>
        </is>
      </c>
      <c r="F43" s="7" t="inlineStr">
        <is>
          <t>XFL4015-471MEC</t>
        </is>
      </c>
      <c r="G43" s="7" t="inlineStr">
        <is>
          <t>Coilcraft</t>
        </is>
      </c>
      <c r="H43" s="7" t="n"/>
      <c r="I43" s="7" t="n"/>
      <c r="J43" s="7" t="inlineStr">
        <is>
          <t>20%</t>
        </is>
      </c>
      <c r="K43" s="7" t="inlineStr">
        <is>
          <t>7.6mR</t>
        </is>
      </c>
      <c r="L43" s="7" t="n"/>
      <c r="M43" s="7" t="inlineStr">
        <is>
          <t>Extended</t>
        </is>
      </c>
      <c r="N43" s="8" t="n">
        <v>2804</v>
      </c>
      <c r="O43" s="7" t="inlineStr">
        <is>
          <t>JLC SMT</t>
        </is>
      </c>
      <c r="P43" s="7" t="inlineStr">
        <is>
          <t>Top</t>
        </is>
      </c>
      <c r="Q43" s="7" t="inlineStr">
        <is>
          <t>power</t>
        </is>
      </c>
      <c r="R43" s="7" t="inlineStr">
        <is>
          <t>TI-recommended inductor (TPS63802 DS Table 10-2): 0.47uH, Isat 5.4A, 7.6mR, 4x4x1.5mm</t>
        </is>
      </c>
    </row>
    <row r="44" ht="46.25" customHeight="1" s="5">
      <c r="A44" s="7" t="inlineStr">
        <is>
          <t>Q1, Q5, Q6</t>
        </is>
      </c>
      <c r="B44" s="7">
        <f>LEN(A44)-LEN(SUBSTITUTE(A44,",",""))+1</f>
        <v/>
      </c>
      <c r="C44" s="7" t="inlineStr">
        <is>
          <t>DMP2022LSS-13</t>
        </is>
      </c>
      <c r="D44" s="7" t="inlineStr">
        <is>
          <t>SOIC-8_3.9x4.9mm_P1.27mm</t>
        </is>
      </c>
      <c r="E44" s="7" t="inlineStr">
        <is>
          <t>C154919</t>
        </is>
      </c>
      <c r="F44" s="7" t="inlineStr">
        <is>
          <t>DMP2022LSS-13</t>
        </is>
      </c>
      <c r="G44" s="7" t="inlineStr">
        <is>
          <t>Diodes Incorporated</t>
        </is>
      </c>
      <c r="H44" s="7" t="n"/>
      <c r="I44" s="7" t="n"/>
      <c r="J44" s="7" t="n"/>
      <c r="K44" s="7" t="n"/>
      <c r="L44" s="7" t="n"/>
      <c r="M44" s="7" t="inlineStr">
        <is>
          <t>Extended</t>
        </is>
      </c>
      <c r="N44" s="8" t="n">
        <v>651</v>
      </c>
      <c r="O44" s="7" t="inlineStr">
        <is>
          <t>JLC SMT</t>
        </is>
      </c>
      <c r="P44" s="7" t="inlineStr">
        <is>
          <t>Top</t>
        </is>
      </c>
      <c r="Q44" s="7" t="inlineStr">
        <is>
          <t>power</t>
        </is>
      </c>
      <c r="R44" s="7" t="inlineStr">
        <is>
          <t>High-side igniter PMOS. 1S: Vgs = -VBAT (3.0-4.2V), so Rds(on) must be specified at -2.5V (22mR). FDS6673BZ is specified from -4.5V.; Reverse-polarity PMOS. 1S: Vgs only -3.0 to -4.2V, so a part with Rds(on) specified at -2.5V (22mR) is needed. AO4407A is specified from -4.5V.</t>
        </is>
      </c>
    </row>
    <row r="45" ht="15" customHeight="1" s="5">
      <c r="A45" s="7" t="inlineStr">
        <is>
          <t>Q2, Q3, Q4</t>
        </is>
      </c>
      <c r="B45" s="7">
        <f>LEN(A45)-LEN(SUBSTITUTE(A45,",",""))+1</f>
        <v/>
      </c>
      <c r="C45" s="7" t="inlineStr">
        <is>
          <t>AO3400A</t>
        </is>
      </c>
      <c r="D45" s="7" t="inlineStr">
        <is>
          <t>SOT-23</t>
        </is>
      </c>
      <c r="E45" s="7" t="inlineStr">
        <is>
          <t>C20917</t>
        </is>
      </c>
      <c r="F45" s="7" t="inlineStr">
        <is>
          <t>AO3400A</t>
        </is>
      </c>
      <c r="G45" s="7" t="inlineStr">
        <is>
          <t>AOS</t>
        </is>
      </c>
      <c r="H45" s="7" t="n"/>
      <c r="I45" s="7" t="n"/>
      <c r="J45" s="7" t="n"/>
      <c r="K45" s="7" t="n"/>
      <c r="L45" s="7" t="n"/>
      <c r="M45" s="7" t="inlineStr">
        <is>
          <t>Basic</t>
        </is>
      </c>
      <c r="N45" s="8" t="n">
        <v>958459</v>
      </c>
      <c r="O45" s="7" t="inlineStr">
        <is>
          <t>JLC SMT</t>
        </is>
      </c>
      <c r="P45" s="7" t="inlineStr">
        <is>
          <t>Top</t>
        </is>
      </c>
      <c r="Q45" s="7" t="inlineStr">
        <is>
          <t>indicators</t>
        </is>
      </c>
      <c r="R45" s="7" t="n"/>
    </row>
    <row r="46" ht="23.85000038146973" customHeight="1" s="5">
      <c r="A46" s="7" t="inlineStr">
        <is>
          <t>R1</t>
        </is>
      </c>
      <c r="B46" s="7">
        <f>LEN(A46)-LEN(SUBSTITUTE(A46,",",""))+1</f>
        <v/>
      </c>
      <c r="C46" s="7" t="inlineStr">
        <is>
          <t>47</t>
        </is>
      </c>
      <c r="D46" s="7" t="inlineStr">
        <is>
          <t>R_0402_1005Metric</t>
        </is>
      </c>
      <c r="E46" s="7" t="inlineStr">
        <is>
          <t>C25118</t>
        </is>
      </c>
      <c r="F46" s="7" t="inlineStr">
        <is>
          <t>0402WGF470JTCE</t>
        </is>
      </c>
      <c r="G46" s="7" t="inlineStr">
        <is>
          <t>UNI-ROYAL</t>
        </is>
      </c>
      <c r="H46" s="7" t="inlineStr">
        <is>
          <t>50V</t>
        </is>
      </c>
      <c r="I46" s="7" t="n"/>
      <c r="J46" s="7" t="inlineStr">
        <is>
          <t>1%</t>
        </is>
      </c>
      <c r="K46" s="7" t="n"/>
      <c r="L46" s="7" t="inlineStr">
        <is>
          <t>62.5mW</t>
        </is>
      </c>
      <c r="M46" s="7" t="inlineStr">
        <is>
          <t>Extended (preferred)</t>
        </is>
      </c>
      <c r="N46" s="8" t="n">
        <v>391677</v>
      </c>
      <c r="O46" s="7" t="inlineStr">
        <is>
          <t>JLC SMT</t>
        </is>
      </c>
      <c r="P46" s="7" t="inlineStr">
        <is>
          <t>Top</t>
        </is>
      </c>
      <c r="Q46" s="7" t="inlineStr">
        <is>
          <t>mcu</t>
        </is>
      </c>
      <c r="R46" s="7" t="n"/>
    </row>
    <row r="47" ht="15" customHeight="1" s="5">
      <c r="A47" s="7" t="inlineStr">
        <is>
          <t>R2, R3</t>
        </is>
      </c>
      <c r="B47" s="7">
        <f>LEN(A47)-LEN(SUBSTITUTE(A47,",",""))+1</f>
        <v/>
      </c>
      <c r="C47" s="7" t="inlineStr">
        <is>
          <t>10k</t>
        </is>
      </c>
      <c r="D47" s="7" t="inlineStr">
        <is>
          <t>R_0603_1608Metric</t>
        </is>
      </c>
      <c r="E47" s="7" t="inlineStr">
        <is>
          <t>C25804</t>
        </is>
      </c>
      <c r="F47" s="7" t="inlineStr">
        <is>
          <t>0603WAF1002T5E</t>
        </is>
      </c>
      <c r="G47" s="7" t="inlineStr">
        <is>
          <t>UNI-ROYAL</t>
        </is>
      </c>
      <c r="H47" s="7" t="inlineStr">
        <is>
          <t>75V</t>
        </is>
      </c>
      <c r="I47" s="7" t="n"/>
      <c r="J47" s="7" t="inlineStr">
        <is>
          <t>1%</t>
        </is>
      </c>
      <c r="K47" s="7" t="n"/>
      <c r="L47" s="7" t="inlineStr">
        <is>
          <t>100mW</t>
        </is>
      </c>
      <c r="M47" s="7" t="inlineStr">
        <is>
          <t>Basic</t>
        </is>
      </c>
      <c r="N47" s="8" t="n">
        <v>23037967</v>
      </c>
      <c r="O47" s="7" t="inlineStr">
        <is>
          <t>JLC SMT</t>
        </is>
      </c>
      <c r="P47" s="7" t="inlineStr">
        <is>
          <t>Top</t>
        </is>
      </c>
      <c r="Q47" s="7" t="inlineStr">
        <is>
          <t>mcu</t>
        </is>
      </c>
      <c r="R47" s="7" t="n"/>
    </row>
    <row r="48" ht="15" customHeight="1" s="5">
      <c r="A48" s="7" t="inlineStr">
        <is>
          <t>R4, R22, R42, R44</t>
        </is>
      </c>
      <c r="B48" s="7">
        <f>LEN(A48)-LEN(SUBSTITUTE(A48,",",""))+1</f>
        <v/>
      </c>
      <c r="C48" s="7" t="inlineStr">
        <is>
          <t>100</t>
        </is>
      </c>
      <c r="D48" s="7" t="inlineStr">
        <is>
          <t>R_0402_1005Metric</t>
        </is>
      </c>
      <c r="E48" s="7" t="inlineStr">
        <is>
          <t>C25076</t>
        </is>
      </c>
      <c r="F48" s="7" t="inlineStr">
        <is>
          <t>0402WGF1000TCE</t>
        </is>
      </c>
      <c r="G48" s="7" t="inlineStr">
        <is>
          <t>UNI-ROYAL</t>
        </is>
      </c>
      <c r="H48" s="7" t="inlineStr">
        <is>
          <t>50V</t>
        </is>
      </c>
      <c r="I48" s="7" t="n"/>
      <c r="J48" s="7" t="inlineStr">
        <is>
          <t>1%</t>
        </is>
      </c>
      <c r="K48" s="7" t="n"/>
      <c r="L48" s="7" t="inlineStr">
        <is>
          <t>62.5mW</t>
        </is>
      </c>
      <c r="M48" s="7" t="inlineStr">
        <is>
          <t>Basic</t>
        </is>
      </c>
      <c r="N48" s="8" t="n">
        <v>4080693</v>
      </c>
      <c r="O48" s="7" t="inlineStr">
        <is>
          <t>JLC SMT</t>
        </is>
      </c>
      <c r="P48" s="7" t="inlineStr">
        <is>
          <t>Top</t>
        </is>
      </c>
      <c r="Q48" s="7" t="inlineStr">
        <is>
          <t>swd</t>
        </is>
      </c>
      <c r="R48" s="7" t="inlineStr">
        <is>
          <t>RGB blue: ~5.5mA typ, 9.5mA worst-case low Vf (&lt;25mA max)</t>
        </is>
      </c>
    </row>
    <row r="49" ht="15" customHeight="1" s="5">
      <c r="A49" s="7" t="inlineStr">
        <is>
          <t>R5, R6</t>
        </is>
      </c>
      <c r="B49" s="7">
        <f>LEN(A49)-LEN(SUBSTITUTE(A49,",",""))+1</f>
        <v/>
      </c>
      <c r="C49" s="7" t="inlineStr">
        <is>
          <t>5k1</t>
        </is>
      </c>
      <c r="D49" s="7" t="inlineStr">
        <is>
          <t>R_0402_1005Metric</t>
        </is>
      </c>
      <c r="E49" s="7" t="inlineStr">
        <is>
          <t>C25905</t>
        </is>
      </c>
      <c r="F49" s="7" t="inlineStr">
        <is>
          <t>0402WGF5101TCE</t>
        </is>
      </c>
      <c r="G49" s="7" t="inlineStr">
        <is>
          <t>UNI-ROYAL</t>
        </is>
      </c>
      <c r="H49" s="7" t="inlineStr">
        <is>
          <t>50V</t>
        </is>
      </c>
      <c r="I49" s="7" t="n"/>
      <c r="J49" s="7" t="inlineStr">
        <is>
          <t>1%</t>
        </is>
      </c>
      <c r="K49" s="7" t="n"/>
      <c r="L49" s="7" t="inlineStr">
        <is>
          <t>62.5mW</t>
        </is>
      </c>
      <c r="M49" s="7" t="inlineStr">
        <is>
          <t>Basic</t>
        </is>
      </c>
      <c r="N49" s="8" t="n">
        <v>6009635</v>
      </c>
      <c r="O49" s="7" t="inlineStr">
        <is>
          <t>JLC SMT</t>
        </is>
      </c>
      <c r="P49" s="7" t="inlineStr">
        <is>
          <t>Top</t>
        </is>
      </c>
      <c r="Q49" s="7" t="inlineStr">
        <is>
          <t>power</t>
        </is>
      </c>
      <c r="R49" s="7" t="n"/>
    </row>
    <row r="50" ht="15" customHeight="1" s="5">
      <c r="A50" s="7" t="inlineStr">
        <is>
          <t>R7</t>
        </is>
      </c>
      <c r="B50" s="7">
        <f>LEN(A50)-LEN(SUBSTITUTE(A50,",",""))+1</f>
        <v/>
      </c>
      <c r="C50" s="7" t="inlineStr">
        <is>
          <t>0R</t>
        </is>
      </c>
      <c r="D50" s="7" t="inlineStr">
        <is>
          <t>R_0603_1608Metric</t>
        </is>
      </c>
      <c r="E50" s="7" t="inlineStr">
        <is>
          <t>C21189</t>
        </is>
      </c>
      <c r="F50" s="7" t="inlineStr">
        <is>
          <t>0603WAF0000T5E</t>
        </is>
      </c>
      <c r="G50" s="7" t="inlineStr">
        <is>
          <t>UNI-ROYAL</t>
        </is>
      </c>
      <c r="H50" s="7" t="inlineStr">
        <is>
          <t>75V</t>
        </is>
      </c>
      <c r="I50" s="7" t="n"/>
      <c r="J50" s="7" t="inlineStr">
        <is>
          <t>1%</t>
        </is>
      </c>
      <c r="K50" s="7" t="n"/>
      <c r="L50" s="7" t="inlineStr">
        <is>
          <t>100mW</t>
        </is>
      </c>
      <c r="M50" s="7" t="inlineStr">
        <is>
          <t>Basic</t>
        </is>
      </c>
      <c r="N50" s="8" t="n">
        <v>23746831</v>
      </c>
      <c r="O50" s="7" t="inlineStr">
        <is>
          <t>JLC SMT</t>
        </is>
      </c>
      <c r="P50" s="7" t="inlineStr">
        <is>
          <t>Top</t>
        </is>
      </c>
      <c r="Q50" s="7" t="inlineStr">
        <is>
          <t>power</t>
        </is>
      </c>
      <c r="R50" s="7" t="n"/>
    </row>
    <row r="51" ht="15" customHeight="1" s="5">
      <c r="A51" s="7" t="inlineStr">
        <is>
          <t>R8</t>
        </is>
      </c>
      <c r="B51" s="7">
        <f>LEN(A51)-LEN(SUBSTITUTE(A51,",",""))+1</f>
        <v/>
      </c>
      <c r="C51" s="7" t="inlineStr">
        <is>
          <t>100k</t>
        </is>
      </c>
      <c r="D51" s="7" t="inlineStr">
        <is>
          <t>R_0402_1005Metric</t>
        </is>
      </c>
      <c r="E51" s="7" t="inlineStr">
        <is>
          <t>C25741</t>
        </is>
      </c>
      <c r="F51" s="7" t="inlineStr">
        <is>
          <t>0402WGF1003TCE</t>
        </is>
      </c>
      <c r="G51" s="7" t="inlineStr">
        <is>
          <t>UNI-ROYAL</t>
        </is>
      </c>
      <c r="H51" s="7" t="inlineStr">
        <is>
          <t>50V</t>
        </is>
      </c>
      <c r="I51" s="7" t="n"/>
      <c r="J51" s="7" t="inlineStr">
        <is>
          <t>1%</t>
        </is>
      </c>
      <c r="K51" s="7" t="n"/>
      <c r="L51" s="7" t="inlineStr">
        <is>
          <t>62.5mW</t>
        </is>
      </c>
      <c r="M51" s="7" t="inlineStr">
        <is>
          <t>Basic</t>
        </is>
      </c>
      <c r="N51" s="8" t="n">
        <v>8233229</v>
      </c>
      <c r="O51" s="7" t="inlineStr">
        <is>
          <t>JLC SMT</t>
        </is>
      </c>
      <c r="P51" s="7" t="inlineStr">
        <is>
          <t>Top</t>
        </is>
      </c>
      <c r="Q51" s="7" t="inlineStr">
        <is>
          <t>power</t>
        </is>
      </c>
      <c r="R51" s="7" t="n"/>
    </row>
    <row r="52" ht="35.04999923706055" customHeight="1" s="5">
      <c r="A52" s="7" t="inlineStr">
        <is>
          <t>R9, R12, R15, R27, R32, R33, R34, R35, R36, R51, R52, R55, R56</t>
        </is>
      </c>
      <c r="B52" s="7">
        <f>LEN(A52)-LEN(SUBSTITUTE(A52,",",""))+1</f>
        <v/>
      </c>
      <c r="C52" s="7" t="inlineStr">
        <is>
          <t>10k</t>
        </is>
      </c>
      <c r="D52" s="7" t="inlineStr">
        <is>
          <t>R_0402_1005Metric</t>
        </is>
      </c>
      <c r="E52" s="7" t="inlineStr">
        <is>
          <t>C25744</t>
        </is>
      </c>
      <c r="F52" s="7" t="inlineStr">
        <is>
          <t>0402WGF1002TCE</t>
        </is>
      </c>
      <c r="G52" s="7" t="inlineStr">
        <is>
          <t>UNI-ROYAL</t>
        </is>
      </c>
      <c r="H52" s="7" t="inlineStr">
        <is>
          <t>50V</t>
        </is>
      </c>
      <c r="I52" s="7" t="n"/>
      <c r="J52" s="7" t="inlineStr">
        <is>
          <t>1%</t>
        </is>
      </c>
      <c r="K52" s="7" t="n"/>
      <c r="L52" s="7" t="inlineStr">
        <is>
          <t>62.5mW</t>
        </is>
      </c>
      <c r="M52" s="7" t="inlineStr">
        <is>
          <t>Basic</t>
        </is>
      </c>
      <c r="N52" s="8" t="n">
        <v>21738660</v>
      </c>
      <c r="O52" s="7" t="inlineStr">
        <is>
          <t>JLC SMT</t>
        </is>
      </c>
      <c r="P52" s="7" t="inlineStr">
        <is>
          <t>Top</t>
        </is>
      </c>
      <c r="Q52" s="7" t="inlineStr">
        <is>
          <t>power</t>
        </is>
      </c>
      <c r="R52" s="7" t="inlineStr">
        <is>
          <t>Keeps the radio deselected before firmware runs; PR1 divider bottom; VOLT_SENSE divider top</t>
        </is>
      </c>
    </row>
    <row r="53" ht="15" customHeight="1" s="5">
      <c r="A53" s="7" t="inlineStr">
        <is>
          <t>R10</t>
        </is>
      </c>
      <c r="B53" s="7">
        <f>LEN(A53)-LEN(SUBSTITUTE(A53,",",""))+1</f>
        <v/>
      </c>
      <c r="C53" s="7" t="inlineStr">
        <is>
          <t>22k</t>
        </is>
      </c>
      <c r="D53" s="7" t="inlineStr">
        <is>
          <t>R_0402_1005Metric</t>
        </is>
      </c>
      <c r="E53" s="7" t="inlineStr">
        <is>
          <t>C25768</t>
        </is>
      </c>
      <c r="F53" s="7" t="inlineStr">
        <is>
          <t>0402WGF2202TCE</t>
        </is>
      </c>
      <c r="G53" s="7" t="inlineStr">
        <is>
          <t>UNI-ROYAL</t>
        </is>
      </c>
      <c r="H53" s="7" t="inlineStr">
        <is>
          <t>50V</t>
        </is>
      </c>
      <c r="I53" s="7" t="n"/>
      <c r="J53" s="7" t="inlineStr">
        <is>
          <t>1%</t>
        </is>
      </c>
      <c r="K53" s="7" t="n"/>
      <c r="L53" s="7" t="inlineStr">
        <is>
          <t>62.5mW</t>
        </is>
      </c>
      <c r="M53" s="7" t="inlineStr">
        <is>
          <t>Basic</t>
        </is>
      </c>
      <c r="N53" s="8" t="n">
        <v>799355</v>
      </c>
      <c r="O53" s="7" t="inlineStr">
        <is>
          <t>JLC SMT</t>
        </is>
      </c>
      <c r="P53" s="7" t="inlineStr">
        <is>
          <t>Top</t>
        </is>
      </c>
      <c r="Q53" s="7" t="inlineStr">
        <is>
          <t>power</t>
        </is>
      </c>
      <c r="R53" s="7" t="inlineStr">
        <is>
          <t>VOLT_SENSE = VBAT x 22k/32k: 4.2V -&gt; 2.89V, 3.0V -&gt; 2.06V</t>
        </is>
      </c>
    </row>
    <row r="54" ht="23.85000038146973" customHeight="1" s="5">
      <c r="A54" s="7" t="inlineStr">
        <is>
          <t>R11</t>
        </is>
      </c>
      <c r="B54" s="7">
        <f>LEN(A54)-LEN(SUBSTITUTE(A54,",",""))+1</f>
        <v/>
      </c>
      <c r="C54" s="7" t="inlineStr">
        <is>
          <t>33k</t>
        </is>
      </c>
      <c r="D54" s="7" t="inlineStr">
        <is>
          <t>R_0402_1005Metric</t>
        </is>
      </c>
      <c r="E54" s="7" t="inlineStr">
        <is>
          <t>C25779</t>
        </is>
      </c>
      <c r="F54" s="7" t="inlineStr">
        <is>
          <t>0402WGF3302TCE</t>
        </is>
      </c>
      <c r="G54" s="7" t="inlineStr">
        <is>
          <t>UNI-ROYAL</t>
        </is>
      </c>
      <c r="H54" s="7" t="inlineStr">
        <is>
          <t>50V</t>
        </is>
      </c>
      <c r="I54" s="7" t="n"/>
      <c r="J54" s="7" t="inlineStr">
        <is>
          <t>1%</t>
        </is>
      </c>
      <c r="K54" s="7" t="n"/>
      <c r="L54" s="7" t="inlineStr">
        <is>
          <t>62.5mW</t>
        </is>
      </c>
      <c r="M54" s="7" t="inlineStr">
        <is>
          <t>Basic</t>
        </is>
      </c>
      <c r="N54" s="8" t="n">
        <v>1209063</v>
      </c>
      <c r="O54" s="7" t="inlineStr">
        <is>
          <t>JLC SMT</t>
        </is>
      </c>
      <c r="P54" s="7" t="inlineStr">
        <is>
          <t>Top</t>
        </is>
      </c>
      <c r="Q54" s="7" t="inlineStr">
        <is>
          <t>power</t>
        </is>
      </c>
      <c r="R54" s="7" t="inlineStr">
        <is>
          <t>PR1 divider top (from VBUS). VBUS x 10k/43k crosses VREF 1.0V (0.92-1.08) at 4.3V (3.96-4.64V).</t>
        </is>
      </c>
    </row>
    <row r="55" ht="15" customHeight="1" s="5">
      <c r="A55" s="7" t="inlineStr">
        <is>
          <t>R13</t>
        </is>
      </c>
      <c r="B55" s="7">
        <f>LEN(A55)-LEN(SUBSTITUTE(A55,",",""))+1</f>
        <v/>
      </c>
      <c r="C55" s="7" t="inlineStr">
        <is>
          <t>511k</t>
        </is>
      </c>
      <c r="D55" s="7" t="inlineStr">
        <is>
          <t>R_0402_1005Metric</t>
        </is>
      </c>
      <c r="E55" s="7" t="inlineStr">
        <is>
          <t>C64042</t>
        </is>
      </c>
      <c r="F55" s="7" t="inlineStr">
        <is>
          <t>0402WGF5113TCE</t>
        </is>
      </c>
      <c r="G55" s="7" t="inlineStr">
        <is>
          <t>UNI-ROYAL</t>
        </is>
      </c>
      <c r="H55" s="7" t="inlineStr">
        <is>
          <t>50V</t>
        </is>
      </c>
      <c r="I55" s="7" t="n"/>
      <c r="J55" s="7" t="inlineStr">
        <is>
          <t>1%</t>
        </is>
      </c>
      <c r="K55" s="7" t="n"/>
      <c r="L55" s="7" t="inlineStr">
        <is>
          <t>62.5mW</t>
        </is>
      </c>
      <c r="M55" s="7" t="inlineStr">
        <is>
          <t>Extended</t>
        </is>
      </c>
      <c r="N55" s="8" t="n">
        <v>175055</v>
      </c>
      <c r="O55" s="7" t="inlineStr">
        <is>
          <t>JLC SMT</t>
        </is>
      </c>
      <c r="P55" s="7" t="inlineStr">
        <is>
          <t>Top</t>
        </is>
      </c>
      <c r="Q55" s="7" t="inlineStr">
        <is>
          <t>power</t>
        </is>
      </c>
      <c r="R55" s="7" t="inlineStr">
        <is>
          <t>FB top. VOUT = 0.5V x (1 + 511k/91k) = 3.31V (TI DS Table 10-1 values for 3.3V)</t>
        </is>
      </c>
    </row>
    <row r="56" ht="15" customHeight="1" s="5">
      <c r="A56" s="7" t="inlineStr">
        <is>
          <t>R14</t>
        </is>
      </c>
      <c r="B56" s="7">
        <f>LEN(A56)-LEN(SUBSTITUTE(A56,",",""))+1</f>
        <v/>
      </c>
      <c r="C56" s="7" t="inlineStr">
        <is>
          <t>91k</t>
        </is>
      </c>
      <c r="D56" s="7" t="inlineStr">
        <is>
          <t>R_0402_1005Metric</t>
        </is>
      </c>
      <c r="E56" s="7" t="inlineStr">
        <is>
          <t>C4147</t>
        </is>
      </c>
      <c r="F56" s="7" t="inlineStr">
        <is>
          <t>0402WGF9102TCE</t>
        </is>
      </c>
      <c r="G56" s="7" t="inlineStr">
        <is>
          <t>UNI-ROYAL</t>
        </is>
      </c>
      <c r="H56" s="7" t="inlineStr">
        <is>
          <t>50V</t>
        </is>
      </c>
      <c r="I56" s="7" t="n"/>
      <c r="J56" s="7" t="inlineStr">
        <is>
          <t>1%</t>
        </is>
      </c>
      <c r="K56" s="7" t="n"/>
      <c r="L56" s="7" t="inlineStr">
        <is>
          <t>62.5mW</t>
        </is>
      </c>
      <c r="M56" s="7" t="inlineStr">
        <is>
          <t>Extended</t>
        </is>
      </c>
      <c r="N56" s="8" t="n">
        <v>12190</v>
      </c>
      <c r="O56" s="7" t="inlineStr">
        <is>
          <t>JLC SMT</t>
        </is>
      </c>
      <c r="P56" s="7" t="inlineStr">
        <is>
          <t>Top</t>
        </is>
      </c>
      <c r="Q56" s="7" t="inlineStr">
        <is>
          <t>power</t>
        </is>
      </c>
      <c r="R56" s="7" t="inlineStr">
        <is>
          <t>FB bottom</t>
        </is>
      </c>
    </row>
    <row r="57" ht="23.85000038146973" customHeight="1" s="5">
      <c r="A57" s="7" t="inlineStr">
        <is>
          <t>R16, R17, R18, R28, R29, R30, R31</t>
        </is>
      </c>
      <c r="B57" s="7">
        <f>LEN(A57)-LEN(SUBSTITUTE(A57,",",""))+1</f>
        <v/>
      </c>
      <c r="C57" s="7" t="inlineStr">
        <is>
          <t>10</t>
        </is>
      </c>
      <c r="D57" s="7" t="inlineStr">
        <is>
          <t>R_0402_1005Metric</t>
        </is>
      </c>
      <c r="E57" s="7" t="inlineStr">
        <is>
          <t>C25077</t>
        </is>
      </c>
      <c r="F57" s="7" t="inlineStr">
        <is>
          <t>0402WGF100JTCE</t>
        </is>
      </c>
      <c r="G57" s="7" t="inlineStr">
        <is>
          <t>UNI-ROYAL</t>
        </is>
      </c>
      <c r="H57" s="7" t="inlineStr">
        <is>
          <t>50V</t>
        </is>
      </c>
      <c r="I57" s="7" t="n"/>
      <c r="J57" s="7" t="inlineStr">
        <is>
          <t>1%</t>
        </is>
      </c>
      <c r="K57" s="7" t="n"/>
      <c r="L57" s="7" t="inlineStr">
        <is>
          <t>62.5mW</t>
        </is>
      </c>
      <c r="M57" s="7" t="inlineStr">
        <is>
          <t>Basic</t>
        </is>
      </c>
      <c r="N57" s="8" t="n">
        <v>1753546</v>
      </c>
      <c r="O57" s="7" t="inlineStr">
        <is>
          <t>JLC SMT</t>
        </is>
      </c>
      <c r="P57" s="7" t="inlineStr">
        <is>
          <t>Top</t>
        </is>
      </c>
      <c r="Q57" s="7" t="inlineStr">
        <is>
          <t>sensors</t>
        </is>
      </c>
      <c r="R57" s="7" t="n"/>
    </row>
    <row r="58" ht="15" customHeight="1" s="5">
      <c r="A58" s="7" t="inlineStr">
        <is>
          <t>R19</t>
        </is>
      </c>
      <c r="B58" s="7">
        <f>LEN(A58)-LEN(SUBSTITUTE(A58,",",""))+1</f>
        <v/>
      </c>
      <c r="C58" s="7" t="inlineStr">
        <is>
          <t>3k3</t>
        </is>
      </c>
      <c r="D58" s="7" t="inlineStr">
        <is>
          <t>R_0402_1005Metric</t>
        </is>
      </c>
      <c r="E58" s="7" t="inlineStr">
        <is>
          <t>C25890</t>
        </is>
      </c>
      <c r="F58" s="7" t="inlineStr">
        <is>
          <t>0402WGF3301TCE</t>
        </is>
      </c>
      <c r="G58" s="7" t="inlineStr">
        <is>
          <t>UNI-ROYAL</t>
        </is>
      </c>
      <c r="H58" s="7" t="inlineStr">
        <is>
          <t>50V</t>
        </is>
      </c>
      <c r="I58" s="7" t="n"/>
      <c r="J58" s="7" t="inlineStr">
        <is>
          <t>1%</t>
        </is>
      </c>
      <c r="K58" s="7" t="n"/>
      <c r="L58" s="7" t="inlineStr">
        <is>
          <t>62.5mW</t>
        </is>
      </c>
      <c r="M58" s="7" t="inlineStr">
        <is>
          <t>Basic</t>
        </is>
      </c>
      <c r="N58" s="8" t="n">
        <v>2084377</v>
      </c>
      <c r="O58" s="7" t="inlineStr">
        <is>
          <t>JLC SMT</t>
        </is>
      </c>
      <c r="P58" s="7" t="inlineStr">
        <is>
          <t>Top</t>
        </is>
      </c>
      <c r="Q58" s="7" t="inlineStr">
        <is>
          <t>indicators</t>
        </is>
      </c>
      <c r="R58" s="7" t="n"/>
    </row>
    <row r="59" ht="15" customHeight="1" s="5">
      <c r="A59" s="7" t="inlineStr">
        <is>
          <t>R20</t>
        </is>
      </c>
      <c r="B59" s="7">
        <f>LEN(A59)-LEN(SUBSTITUTE(A59,",",""))+1</f>
        <v/>
      </c>
      <c r="C59" s="7" t="inlineStr">
        <is>
          <t>270</t>
        </is>
      </c>
      <c r="D59" s="7" t="inlineStr">
        <is>
          <t>R_0402_1005Metric</t>
        </is>
      </c>
      <c r="E59" s="7" t="inlineStr">
        <is>
          <t>C25099</t>
        </is>
      </c>
      <c r="F59" s="7" t="inlineStr">
        <is>
          <t>0402WGF2700TCE</t>
        </is>
      </c>
      <c r="G59" s="7" t="inlineStr">
        <is>
          <t>UNI-ROYAL</t>
        </is>
      </c>
      <c r="H59" s="7" t="inlineStr">
        <is>
          <t>50V</t>
        </is>
      </c>
      <c r="I59" s="7" t="n"/>
      <c r="J59" s="7" t="inlineStr">
        <is>
          <t>1%</t>
        </is>
      </c>
      <c r="K59" s="7" t="n"/>
      <c r="L59" s="7" t="inlineStr">
        <is>
          <t>62.5mW</t>
        </is>
      </c>
      <c r="M59" s="7" t="inlineStr">
        <is>
          <t>Extended</t>
        </is>
      </c>
      <c r="N59" s="8" t="n">
        <v>39060</v>
      </c>
      <c r="O59" s="7" t="inlineStr">
        <is>
          <t>JLC SMT</t>
        </is>
      </c>
      <c r="P59" s="7" t="inlineStr">
        <is>
          <t>Top</t>
        </is>
      </c>
      <c r="Q59" s="7" t="inlineStr">
        <is>
          <t>indicators</t>
        </is>
      </c>
      <c r="R59" s="7" t="inlineStr">
        <is>
          <t>RGB red: ~5mA (Vf ~1.85V at 5mA, 3.3V anode, MCU sink)</t>
        </is>
      </c>
    </row>
    <row r="60" ht="15" customHeight="1" s="5">
      <c r="A60" s="7" t="inlineStr">
        <is>
          <t>R21, R37, R38</t>
        </is>
      </c>
      <c r="B60" s="7">
        <f>LEN(A60)-LEN(SUBSTITUTE(A60,",",""))+1</f>
        <v/>
      </c>
      <c r="C60" s="7" t="inlineStr">
        <is>
          <t>330</t>
        </is>
      </c>
      <c r="D60" s="7" t="inlineStr">
        <is>
          <t>R_0402_1005Metric</t>
        </is>
      </c>
      <c r="E60" s="7" t="inlineStr">
        <is>
          <t>C25104</t>
        </is>
      </c>
      <c r="F60" s="7" t="inlineStr">
        <is>
          <t>0402WGF3300TCE</t>
        </is>
      </c>
      <c r="G60" s="7" t="inlineStr">
        <is>
          <t>UNI-ROYAL</t>
        </is>
      </c>
      <c r="H60" s="7" t="inlineStr">
        <is>
          <t>50V</t>
        </is>
      </c>
      <c r="I60" s="7" t="n"/>
      <c r="J60" s="7" t="inlineStr">
        <is>
          <t>1%</t>
        </is>
      </c>
      <c r="K60" s="7" t="n"/>
      <c r="L60" s="7" t="inlineStr">
        <is>
          <t>62.5mW</t>
        </is>
      </c>
      <c r="M60" s="7" t="inlineStr">
        <is>
          <t>Basic</t>
        </is>
      </c>
      <c r="N60" s="8" t="n">
        <v>1195841</v>
      </c>
      <c r="O60" s="7" t="inlineStr">
        <is>
          <t>JLC SMT</t>
        </is>
      </c>
      <c r="P60" s="7" t="inlineStr">
        <is>
          <t>Top</t>
        </is>
      </c>
      <c r="Q60" s="7" t="inlineStr">
        <is>
          <t>indicators</t>
        </is>
      </c>
      <c r="R60" s="7" t="inlineStr">
        <is>
          <t>RGB green: ~2.6mA (green is ~4x brighter than blue per datasheet)</t>
        </is>
      </c>
    </row>
    <row r="61" ht="15" customHeight="1" s="5">
      <c r="A61" s="7" t="inlineStr">
        <is>
          <t>R23, R24</t>
        </is>
      </c>
      <c r="B61" s="7">
        <f>LEN(A61)-LEN(SUBSTITUTE(A61,",",""))+1</f>
        <v/>
      </c>
      <c r="C61" s="7" t="inlineStr">
        <is>
          <t>470</t>
        </is>
      </c>
      <c r="D61" s="7" t="inlineStr">
        <is>
          <t>R_0402_1005Metric</t>
        </is>
      </c>
      <c r="E61" s="7" t="inlineStr">
        <is>
          <t>C25117</t>
        </is>
      </c>
      <c r="F61" s="7" t="inlineStr">
        <is>
          <t>0402WGF4700TCE</t>
        </is>
      </c>
      <c r="G61" s="7" t="inlineStr">
        <is>
          <t>UNI-ROYAL</t>
        </is>
      </c>
      <c r="H61" s="7" t="inlineStr">
        <is>
          <t>50V</t>
        </is>
      </c>
      <c r="I61" s="7" t="n"/>
      <c r="J61" s="7" t="inlineStr">
        <is>
          <t>1%</t>
        </is>
      </c>
      <c r="K61" s="7" t="n"/>
      <c r="L61" s="7" t="inlineStr">
        <is>
          <t>62.5mW</t>
        </is>
      </c>
      <c r="M61" s="7" t="inlineStr">
        <is>
          <t>Basic</t>
        </is>
      </c>
      <c r="N61" s="8" t="n">
        <v>840845</v>
      </c>
      <c r="O61" s="7" t="inlineStr">
        <is>
          <t>JLC SMT</t>
        </is>
      </c>
      <c r="P61" s="7" t="inlineStr">
        <is>
          <t>Top</t>
        </is>
      </c>
      <c r="Q61" s="7" t="inlineStr">
        <is>
          <t>indicators</t>
        </is>
      </c>
      <c r="R61" s="7" t="n"/>
    </row>
    <row r="62" ht="15" customHeight="1" s="5">
      <c r="A62" s="7" t="inlineStr">
        <is>
          <t>R25</t>
        </is>
      </c>
      <c r="B62" s="7">
        <f>LEN(A62)-LEN(SUBSTITUTE(A62,",",""))+1</f>
        <v/>
      </c>
      <c r="C62" s="7" t="inlineStr">
        <is>
          <t>910</t>
        </is>
      </c>
      <c r="D62" s="7" t="inlineStr">
        <is>
          <t>R_0402_1005Metric</t>
        </is>
      </c>
      <c r="E62" s="7" t="inlineStr">
        <is>
          <t>C44933</t>
        </is>
      </c>
      <c r="F62" s="7" t="inlineStr">
        <is>
          <t>0402WGF9100TCE</t>
        </is>
      </c>
      <c r="G62" s="7" t="inlineStr">
        <is>
          <t>UNI-ROYAL</t>
        </is>
      </c>
      <c r="H62" s="7" t="inlineStr">
        <is>
          <t>50V</t>
        </is>
      </c>
      <c r="I62" s="7" t="n"/>
      <c r="J62" s="7" t="inlineStr">
        <is>
          <t>1%</t>
        </is>
      </c>
      <c r="K62" s="7" t="n"/>
      <c r="L62" s="7" t="inlineStr">
        <is>
          <t>62.5mW</t>
        </is>
      </c>
      <c r="M62" s="7" t="inlineStr">
        <is>
          <t>Extended</t>
        </is>
      </c>
      <c r="N62" s="8" t="n">
        <v>60782</v>
      </c>
      <c r="O62" s="7" t="inlineStr">
        <is>
          <t>JLC SMT</t>
        </is>
      </c>
      <c r="P62" s="7" t="inlineStr">
        <is>
          <t>Top</t>
        </is>
      </c>
      <c r="Q62" s="7" t="inlineStr">
        <is>
          <t>indicators</t>
        </is>
      </c>
      <c r="R62" s="7" t="n"/>
    </row>
    <row r="63" ht="15" customHeight="1" s="5">
      <c r="A63" s="7" t="inlineStr">
        <is>
          <t>R26</t>
        </is>
      </c>
      <c r="B63" s="7">
        <f>LEN(A63)-LEN(SUBSTITUTE(A63,",",""))+1</f>
        <v/>
      </c>
      <c r="C63" s="7" t="inlineStr">
        <is>
          <t>330</t>
        </is>
      </c>
      <c r="D63" s="7" t="inlineStr">
        <is>
          <t>R_0603_1608Metric</t>
        </is>
      </c>
      <c r="E63" s="7" t="inlineStr">
        <is>
          <t>C23138</t>
        </is>
      </c>
      <c r="F63" s="7" t="inlineStr">
        <is>
          <t>0603WAF3300T5E</t>
        </is>
      </c>
      <c r="G63" s="7" t="inlineStr">
        <is>
          <t>UNI-ROYAL</t>
        </is>
      </c>
      <c r="H63" s="7" t="inlineStr">
        <is>
          <t>75V</t>
        </is>
      </c>
      <c r="I63" s="7" t="n"/>
      <c r="J63" s="7" t="inlineStr">
        <is>
          <t>1%</t>
        </is>
      </c>
      <c r="K63" s="7" t="n"/>
      <c r="L63" s="7" t="inlineStr">
        <is>
          <t>100mW</t>
        </is>
      </c>
      <c r="M63" s="7" t="inlineStr">
        <is>
          <t>Basic</t>
        </is>
      </c>
      <c r="N63" s="8" t="n">
        <v>3256483</v>
      </c>
      <c r="O63" s="7" t="inlineStr">
        <is>
          <t>JLC SMT</t>
        </is>
      </c>
      <c r="P63" s="7" t="inlineStr">
        <is>
          <t>Top</t>
        </is>
      </c>
      <c r="Q63" s="7" t="inlineStr">
        <is>
          <t>indicators</t>
        </is>
      </c>
      <c r="R63" s="7" t="inlineStr">
        <is>
          <t>ARM LED from +VBAT_ARM: (4.2-2.0)/330 = 6.7mA, 3.0V -&gt; 3mA</t>
        </is>
      </c>
    </row>
    <row r="64" ht="23.85000038146973" customHeight="1" s="5">
      <c r="A64" s="7" t="inlineStr">
        <is>
          <t>R39, R40</t>
        </is>
      </c>
      <c r="B64" s="7">
        <f>LEN(A64)-LEN(SUBSTITUTE(A64,",",""))+1</f>
        <v/>
      </c>
      <c r="C64" s="7" t="inlineStr">
        <is>
          <t>8k2</t>
        </is>
      </c>
      <c r="D64" s="7" t="inlineStr">
        <is>
          <t>R_0402_1005Metric</t>
        </is>
      </c>
      <c r="E64" s="7" t="inlineStr">
        <is>
          <t>C25924</t>
        </is>
      </c>
      <c r="F64" s="7" t="inlineStr">
        <is>
          <t>0402WGF8201TCE</t>
        </is>
      </c>
      <c r="G64" s="7" t="inlineStr">
        <is>
          <t>UNI-ROYAL</t>
        </is>
      </c>
      <c r="H64" s="7" t="inlineStr">
        <is>
          <t>50V</t>
        </is>
      </c>
      <c r="I64" s="7" t="n"/>
      <c r="J64" s="7" t="inlineStr">
        <is>
          <t>1%</t>
        </is>
      </c>
      <c r="K64" s="7" t="n"/>
      <c r="L64" s="7" t="inlineStr">
        <is>
          <t>62.5mW</t>
        </is>
      </c>
      <c r="M64" s="7" t="inlineStr">
        <is>
          <t>Extended (preferred)</t>
        </is>
      </c>
      <c r="N64" s="8" t="n">
        <v>54795</v>
      </c>
      <c r="O64" s="7" t="inlineStr">
        <is>
          <t>JLC SMT</t>
        </is>
      </c>
      <c r="P64" s="7" t="inlineStr">
        <is>
          <t>Top</t>
        </is>
      </c>
      <c r="Q64" s="7" t="inlineStr">
        <is>
          <t>igniter</t>
        </is>
      </c>
      <c r="R64" s="7" t="n"/>
    </row>
    <row r="65" ht="23.85000038146973" customHeight="1" s="5">
      <c r="A65" s="7" t="inlineStr">
        <is>
          <t>R41, R43</t>
        </is>
      </c>
      <c r="B65" s="7">
        <f>LEN(A65)-LEN(SUBSTITUTE(A65,",",""))+1</f>
        <v/>
      </c>
      <c r="C65" s="7" t="inlineStr">
        <is>
          <t>10k</t>
        </is>
      </c>
      <c r="D65" s="7" t="inlineStr">
        <is>
          <t>R_1206_3216Metric</t>
        </is>
      </c>
      <c r="E65" s="7" t="inlineStr">
        <is>
          <t>C17902</t>
        </is>
      </c>
      <c r="F65" s="7" t="inlineStr">
        <is>
          <t>1206W4F1002T5E</t>
        </is>
      </c>
      <c r="G65" s="7" t="inlineStr">
        <is>
          <t>UNI-ROYAL</t>
        </is>
      </c>
      <c r="H65" s="7" t="inlineStr">
        <is>
          <t>200V</t>
        </is>
      </c>
      <c r="I65" s="7" t="n"/>
      <c r="J65" s="7" t="inlineStr">
        <is>
          <t>1%</t>
        </is>
      </c>
      <c r="K65" s="7" t="n"/>
      <c r="L65" s="7" t="inlineStr">
        <is>
          <t>250mW</t>
        </is>
      </c>
      <c r="M65" s="7" t="inlineStr">
        <is>
          <t>Basic</t>
        </is>
      </c>
      <c r="N65" s="8" t="n">
        <v>3041326</v>
      </c>
      <c r="O65" s="7" t="inlineStr">
        <is>
          <t>JLC SMT</t>
        </is>
      </c>
      <c r="P65" s="7" t="inlineStr">
        <is>
          <t>Top</t>
        </is>
      </c>
      <c r="Q65" s="7" t="inlineStr">
        <is>
          <t>igniter</t>
        </is>
      </c>
      <c r="R65" s="7" t="inlineStr">
        <is>
          <t>PMOS gate pull-up to +VBAT_ARM. 10k: 0.42mA while firing (4.2V). 1206 kept so the footprint does not change.</t>
        </is>
      </c>
    </row>
    <row r="66" ht="57.45000076293945" customHeight="1" s="5">
      <c r="A66" s="7" t="inlineStr">
        <is>
          <t>R45, R46, R47, R48</t>
        </is>
      </c>
      <c r="B66" s="7">
        <f>LEN(A66)-LEN(SUBSTITUTE(A66,",",""))+1</f>
        <v/>
      </c>
      <c r="C66" s="7" t="inlineStr">
        <is>
          <t>1</t>
        </is>
      </c>
      <c r="D66" s="7" t="inlineStr">
        <is>
          <t>R_2512_6332Metric</t>
        </is>
      </c>
      <c r="E66" s="7" t="inlineStr">
        <is>
          <t>C840604</t>
        </is>
      </c>
      <c r="F66" s="7" t="inlineStr">
        <is>
          <t>CRM2512-FX-1R00ELF</t>
        </is>
      </c>
      <c r="G66" s="7" t="inlineStr">
        <is>
          <t>Bourns</t>
        </is>
      </c>
      <c r="H66" s="7" t="inlineStr">
        <is>
          <t>300V</t>
        </is>
      </c>
      <c r="I66" s="7" t="n"/>
      <c r="J66" s="7" t="inlineStr">
        <is>
          <t>1%</t>
        </is>
      </c>
      <c r="K66" s="7" t="n"/>
      <c r="L66" s="7" t="inlineStr">
        <is>
          <t>2W (pulse: ~6W/1s)</t>
        </is>
      </c>
      <c r="M66" s="7" t="inlineStr">
        <is>
          <t>Extended</t>
        </is>
      </c>
      <c r="N66" s="8" t="n">
        <v>1117</v>
      </c>
      <c r="O66" s="7" t="inlineStr">
        <is>
          <t>JLC SMT</t>
        </is>
      </c>
      <c r="P66" s="7" t="inlineStr">
        <is>
          <t>Top</t>
        </is>
      </c>
      <c r="Q66" s="7" t="inlineStr">
        <is>
          <t>igniter</t>
        </is>
      </c>
      <c r="R66" s="7" t="inlineStr">
        <is>
          <t>Igniter series current limit, 2 x 1R in series per channel (3R total with the 1R e-match: ~0.86A at 3.0V, ~1.27A at 4.2V; MJG BP starter all-fire 0.60A, recommended 0.75-1.0A). Per resistor: 1.6W while the match is intact (ms), 3.4W into a shorted output (4.2V/2.3R = 1.83A). Bourns CRM2512 pulse curve (&gt;=1R): ~6W for a 1s single pulse, ~27W for 0.1s. Limit firmware fire time to &lt;= 1s.</t>
        </is>
      </c>
    </row>
    <row r="67" ht="15" customHeight="1" s="5">
      <c r="A67" s="7" t="inlineStr">
        <is>
          <t>R49, R50</t>
        </is>
      </c>
      <c r="B67" s="7">
        <f>LEN(A67)-LEN(SUBSTITUTE(A67,",",""))+1</f>
        <v/>
      </c>
      <c r="C67" s="7" t="inlineStr">
        <is>
          <t>3k3</t>
        </is>
      </c>
      <c r="D67" s="7" t="inlineStr">
        <is>
          <t>R_0603_1608Metric</t>
        </is>
      </c>
      <c r="E67" s="7" t="inlineStr">
        <is>
          <t>C22978</t>
        </is>
      </c>
      <c r="F67" s="7" t="inlineStr">
        <is>
          <t>0603WAF3301T5E</t>
        </is>
      </c>
      <c r="G67" s="7" t="inlineStr">
        <is>
          <t>UNI-ROYAL</t>
        </is>
      </c>
      <c r="H67" s="7" t="inlineStr">
        <is>
          <t>75V</t>
        </is>
      </c>
      <c r="I67" s="7" t="n"/>
      <c r="J67" s="7" t="inlineStr">
        <is>
          <t>1%</t>
        </is>
      </c>
      <c r="K67" s="7" t="n"/>
      <c r="L67" s="7" t="inlineStr">
        <is>
          <t>100mW</t>
        </is>
      </c>
      <c r="M67" s="7" t="inlineStr">
        <is>
          <t>Basic</t>
        </is>
      </c>
      <c r="N67" s="8" t="n">
        <v>5690986</v>
      </c>
      <c r="O67" s="7" t="inlineStr">
        <is>
          <t>JLC SMT</t>
        </is>
      </c>
      <c r="P67" s="7" t="inlineStr">
        <is>
          <t>Top</t>
        </is>
      </c>
      <c r="Q67" s="7" t="inlineStr">
        <is>
          <t>igniter</t>
        </is>
      </c>
      <c r="R67" s="7" t="inlineStr">
        <is>
          <t>Bleeder: 4.2V^2/3.3k = 5mW</t>
        </is>
      </c>
    </row>
    <row r="68" ht="23.85000038146973" customHeight="1" s="5">
      <c r="A68" s="7" t="inlineStr">
        <is>
          <t>R53, R54</t>
        </is>
      </c>
      <c r="B68" s="7">
        <f>LEN(A68)-LEN(SUBSTITUTE(A68,",",""))+1</f>
        <v/>
      </c>
      <c r="C68" s="7" t="inlineStr">
        <is>
          <t>4.7k</t>
        </is>
      </c>
      <c r="D68" s="7" t="inlineStr">
        <is>
          <t>R_0402_1005Metric</t>
        </is>
      </c>
      <c r="E68" s="7" t="inlineStr">
        <is>
          <t>C25900</t>
        </is>
      </c>
      <c r="F68" s="7" t="inlineStr">
        <is>
          <t>0402WGF4701TCE</t>
        </is>
      </c>
      <c r="G68" s="7" t="inlineStr">
        <is>
          <t>UNI-ROYAL</t>
        </is>
      </c>
      <c r="H68" s="7" t="inlineStr">
        <is>
          <t>50V</t>
        </is>
      </c>
      <c r="I68" s="7" t="n"/>
      <c r="J68" s="7" t="inlineStr">
        <is>
          <t>1%</t>
        </is>
      </c>
      <c r="K68" s="7" t="n"/>
      <c r="L68" s="7" t="inlineStr">
        <is>
          <t>62.5mW</t>
        </is>
      </c>
      <c r="M68" s="7" t="inlineStr">
        <is>
          <t>Basic</t>
        </is>
      </c>
      <c r="N68" s="8" t="n">
        <v>15376968</v>
      </c>
      <c r="O68" s="7" t="inlineStr">
        <is>
          <t>JLC SMT</t>
        </is>
      </c>
      <c r="P68" s="7" t="inlineStr">
        <is>
          <t>Top</t>
        </is>
      </c>
      <c r="Q68" s="7" t="inlineStr">
        <is>
          <t>igniter</t>
        </is>
      </c>
      <c r="R68" s="7" t="inlineStr">
        <is>
          <t>Sense divider top. Firing at 4.2V -&gt; 4.2 x 10k/14.7k = 2.86V at the ADC (was 33k for 12.6V).</t>
        </is>
      </c>
    </row>
    <row r="69" ht="15" customHeight="1" s="5">
      <c r="A69" s="7" t="inlineStr">
        <is>
          <t>SW1</t>
        </is>
      </c>
      <c r="B69" s="7">
        <f>LEN(A69)-LEN(SUBSTITUTE(A69,",",""))+1</f>
        <v/>
      </c>
      <c r="C69" s="7" t="inlineStr">
        <is>
          <t>SW_Push</t>
        </is>
      </c>
      <c r="D69" s="7" t="inlineStr">
        <is>
          <t>SW_SPST_TL3342</t>
        </is>
      </c>
      <c r="E69" s="7" t="inlineStr">
        <is>
          <t>C2886898</t>
        </is>
      </c>
      <c r="F69" s="7" t="inlineStr">
        <is>
          <t>TL3342F160QG</t>
        </is>
      </c>
      <c r="G69" s="7" t="inlineStr">
        <is>
          <t>E-Switch</t>
        </is>
      </c>
      <c r="H69" s="7" t="n"/>
      <c r="I69" s="7" t="n"/>
      <c r="J69" s="7" t="n"/>
      <c r="K69" s="7" t="n"/>
      <c r="L69" s="7" t="n"/>
      <c r="M69" s="7" t="inlineStr">
        <is>
          <t>Extended</t>
        </is>
      </c>
      <c r="N69" s="8" t="n">
        <v>1892</v>
      </c>
      <c r="O69" s="7" t="inlineStr">
        <is>
          <t>JLC SMT</t>
        </is>
      </c>
      <c r="P69" s="7" t="inlineStr">
        <is>
          <t>Top</t>
        </is>
      </c>
      <c r="Q69" s="7" t="inlineStr">
        <is>
          <t>mcu</t>
        </is>
      </c>
      <c r="R69" s="7" t="n"/>
    </row>
    <row r="70" ht="15" customHeight="1" s="5">
      <c r="A70" s="7" t="inlineStr">
        <is>
          <t>SW2</t>
        </is>
      </c>
      <c r="B70" s="7">
        <f>LEN(A70)-LEN(SUBSTITUTE(A70,",",""))+1</f>
        <v/>
      </c>
      <c r="C70" s="7" t="inlineStr">
        <is>
          <t>SW_SPST</t>
        </is>
      </c>
      <c r="D70" s="7" t="inlineStr">
        <is>
          <t>SW_SPST_TL3342</t>
        </is>
      </c>
      <c r="E70" s="7" t="inlineStr">
        <is>
          <t>C2886898</t>
        </is>
      </c>
      <c r="F70" s="7" t="inlineStr">
        <is>
          <t>TL3342F160QG</t>
        </is>
      </c>
      <c r="G70" s="7" t="inlineStr">
        <is>
          <t>E-Switch</t>
        </is>
      </c>
      <c r="H70" s="7" t="n"/>
      <c r="I70" s="7" t="n"/>
      <c r="J70" s="7" t="n"/>
      <c r="K70" s="7" t="n"/>
      <c r="L70" s="7" t="n"/>
      <c r="M70" s="7" t="inlineStr">
        <is>
          <t>Extended</t>
        </is>
      </c>
      <c r="N70" s="8" t="n">
        <v>1892</v>
      </c>
      <c r="O70" s="7" t="inlineStr">
        <is>
          <t>JLC SMT</t>
        </is>
      </c>
      <c r="P70" s="7" t="inlineStr">
        <is>
          <t>Top</t>
        </is>
      </c>
      <c r="Q70" s="7" t="inlineStr">
        <is>
          <t>mcu</t>
        </is>
      </c>
      <c r="R70" s="7" t="n"/>
    </row>
    <row r="71" ht="23.85000038146973" customHeight="1" s="5">
      <c r="A71" s="7" t="inlineStr">
        <is>
          <t>SW3</t>
        </is>
      </c>
      <c r="B71" s="7">
        <f>LEN(A71)-LEN(SUBSTITUTE(A71,",",""))+1</f>
        <v/>
      </c>
      <c r="C71" s="7" t="inlineStr">
        <is>
          <t>SW_SPST</t>
        </is>
      </c>
      <c r="D71" s="7" t="inlineStr">
        <is>
          <t>JST_XH_B2B-XH-A_1x02_P2.50mm_Vertical</t>
        </is>
      </c>
      <c r="E71" s="7" t="inlineStr">
        <is>
          <t>C158012</t>
        </is>
      </c>
      <c r="F71" s="7" t="inlineStr">
        <is>
          <t>B2B-XH-A(LF)(SN)</t>
        </is>
      </c>
      <c r="G71" s="7" t="inlineStr">
        <is>
          <t>JST</t>
        </is>
      </c>
      <c r="H71" s="7" t="n"/>
      <c r="I71" s="7" t="n"/>
      <c r="J71" s="7" t="n"/>
      <c r="K71" s="7" t="n"/>
      <c r="L71" s="7" t="n"/>
      <c r="M71" s="7" t="inlineStr">
        <is>
          <t>Extended</t>
        </is>
      </c>
      <c r="N71" s="8" t="n">
        <v>305696</v>
      </c>
      <c r="O71" s="7" t="inlineStr">
        <is>
          <t>JLC THT</t>
        </is>
      </c>
      <c r="P71" s="7" t="inlineStr">
        <is>
          <t>Top</t>
        </is>
      </c>
      <c r="Q71" s="7" t="inlineStr">
        <is>
          <t>power</t>
        </is>
      </c>
      <c r="R71" s="7" t="n"/>
    </row>
    <row r="72" ht="35.04999923706055" customHeight="1" s="5">
      <c r="A72" s="7" t="inlineStr">
        <is>
          <t>U1</t>
        </is>
      </c>
      <c r="B72" s="7">
        <f>LEN(A72)-LEN(SUBSTITUTE(A72,",",""))+1</f>
        <v/>
      </c>
      <c r="C72" s="7" t="inlineStr">
        <is>
          <t>STM32G473VET6</t>
        </is>
      </c>
      <c r="D72" s="7" t="inlineStr">
        <is>
          <t>LQFP-100_14x14mm_P0.5mm</t>
        </is>
      </c>
      <c r="E72" s="7" t="inlineStr">
        <is>
          <t>C730122</t>
        </is>
      </c>
      <c r="F72" s="7" t="inlineStr">
        <is>
          <t>STM32G473VET6</t>
        </is>
      </c>
      <c r="G72" s="7" t="inlineStr">
        <is>
          <t>STMicroelectronics</t>
        </is>
      </c>
      <c r="H72" s="7" t="n"/>
      <c r="I72" s="7" t="n"/>
      <c r="J72" s="7" t="n"/>
      <c r="K72" s="7" t="n"/>
      <c r="L72" s="7" t="n"/>
      <c r="M72" s="7" t="inlineStr">
        <is>
          <t>Extended</t>
        </is>
      </c>
      <c r="N72" s="8" t="n">
        <v>99</v>
      </c>
      <c r="O72" s="7" t="inlineStr">
        <is>
          <t>JLC SMT</t>
        </is>
      </c>
      <c r="P72" s="7" t="inlineStr">
        <is>
          <t>Top</t>
        </is>
      </c>
      <c r="Q72" s="7" t="inlineStr">
        <is>
          <t>mcu</t>
        </is>
      </c>
      <c r="R72" s="7" t="inlineStr">
        <is>
          <t>STM32G473VET6 = G474 without HRTIM (not used here); same die/pinout/LQFP-100. 99 at JLC (G474: 39). Same symbol (STM32G474VETx) is used for the pin map.</t>
        </is>
      </c>
    </row>
    <row r="73" ht="15" customHeight="1" s="5">
      <c r="A73" s="7" t="inlineStr">
        <is>
          <t>U2</t>
        </is>
      </c>
      <c r="B73" s="7">
        <f>LEN(A73)-LEN(SUBSTITUTE(A73,",",""))+1</f>
        <v/>
      </c>
      <c r="C73" s="7" t="inlineStr">
        <is>
          <t>USBLC6-2P6</t>
        </is>
      </c>
      <c r="D73" s="7" t="inlineStr">
        <is>
          <t>SOT-666</t>
        </is>
      </c>
      <c r="E73" s="7" t="inlineStr">
        <is>
          <t>C15999</t>
        </is>
      </c>
      <c r="F73" s="7" t="inlineStr">
        <is>
          <t>USBLC6-2P6</t>
        </is>
      </c>
      <c r="G73" s="7" t="inlineStr">
        <is>
          <t>STMicroelectronics</t>
        </is>
      </c>
      <c r="H73" s="7" t="n"/>
      <c r="I73" s="7" t="n"/>
      <c r="J73" s="7" t="n"/>
      <c r="K73" s="7" t="n"/>
      <c r="L73" s="7" t="n"/>
      <c r="M73" s="7" t="inlineStr">
        <is>
          <t>Extended</t>
        </is>
      </c>
      <c r="N73" s="8" t="n">
        <v>2734</v>
      </c>
      <c r="O73" s="7" t="inlineStr">
        <is>
          <t>JLC SMT</t>
        </is>
      </c>
      <c r="P73" s="7" t="inlineStr">
        <is>
          <t>Top</t>
        </is>
      </c>
      <c r="Q73" s="7" t="inlineStr">
        <is>
          <t>power</t>
        </is>
      </c>
      <c r="R73" s="7" t="n"/>
    </row>
    <row r="74" ht="35.04999923706055" customHeight="1" s="5">
      <c r="A74" s="7" t="inlineStr">
        <is>
          <t>U3</t>
        </is>
      </c>
      <c r="B74" s="7">
        <f>LEN(A74)-LEN(SUBSTITUTE(A74,",",""))+1</f>
        <v/>
      </c>
      <c r="C74" s="7" t="inlineStr">
        <is>
          <t>TPS63802DLAR</t>
        </is>
      </c>
      <c r="D74" s="7" t="inlineStr">
        <is>
          <t>TI_VSON-HR-10_2x3mm_P0.5mm_DLA0010A</t>
        </is>
      </c>
      <c r="E74" s="7" t="inlineStr">
        <is>
          <t>C2845237</t>
        </is>
      </c>
      <c r="F74" s="7" t="inlineStr">
        <is>
          <t>TPS63802DLAR</t>
        </is>
      </c>
      <c r="G74" s="7" t="inlineStr">
        <is>
          <t>Texas Instruments</t>
        </is>
      </c>
      <c r="H74" s="7" t="n"/>
      <c r="I74" s="7" t="n"/>
      <c r="J74" s="7" t="n"/>
      <c r="K74" s="7" t="n"/>
      <c r="L74" s="7" t="n"/>
      <c r="M74" s="7" t="inlineStr">
        <is>
          <t>Extended</t>
        </is>
      </c>
      <c r="N74" s="8" t="n">
        <v>16686</v>
      </c>
      <c r="O74" s="7" t="inlineStr">
        <is>
          <t>JLC SMT</t>
        </is>
      </c>
      <c r="P74" s="7" t="inlineStr">
        <is>
          <t>Top</t>
        </is>
      </c>
      <c r="Q74" s="7" t="inlineStr">
        <is>
          <t>power</t>
        </is>
      </c>
      <c r="R74" s="7" t="inlineStr">
        <is>
          <t>1S buck-boost, VIN 1.3-5.5V, 2A. EN and MODE tied to VIN (always on, forced PWM: lowest ripple for the radio/GPS). Layout per TI DS sec. 12: CIN/COUT next to VIN/VOUT-GND, short L1/L2 loop.</t>
        </is>
      </c>
    </row>
    <row r="75" ht="15" customHeight="1" s="5">
      <c r="A75" s="7" t="inlineStr">
        <is>
          <t>U4</t>
        </is>
      </c>
      <c r="B75" s="7">
        <f>LEN(A75)-LEN(SUBSTITUTE(A75,",",""))+1</f>
        <v/>
      </c>
      <c r="C75" s="7" t="inlineStr">
        <is>
          <t>TPS2116DRL</t>
        </is>
      </c>
      <c r="D75" s="7" t="inlineStr">
        <is>
          <t>SOT-583-8</t>
        </is>
      </c>
      <c r="E75" s="7" t="inlineStr">
        <is>
          <t>C3235557</t>
        </is>
      </c>
      <c r="F75" s="7" t="inlineStr">
        <is>
          <t>TPS2116DRLR</t>
        </is>
      </c>
      <c r="G75" s="7" t="inlineStr">
        <is>
          <t>Texas Instruments</t>
        </is>
      </c>
      <c r="H75" s="7" t="n"/>
      <c r="I75" s="7" t="n"/>
      <c r="J75" s="7" t="n"/>
      <c r="K75" s="7" t="n"/>
      <c r="L75" s="7" t="n"/>
      <c r="M75" s="7" t="inlineStr">
        <is>
          <t>Extended</t>
        </is>
      </c>
      <c r="N75" s="8" t="n">
        <v>79374</v>
      </c>
      <c r="O75" s="7" t="inlineStr">
        <is>
          <t>JLC SMT</t>
        </is>
      </c>
      <c r="P75" s="7" t="inlineStr">
        <is>
          <t>Top</t>
        </is>
      </c>
      <c r="Q75" s="7" t="inlineStr">
        <is>
          <t>power</t>
        </is>
      </c>
      <c r="R75" s="7" t="n"/>
    </row>
    <row r="76" ht="15" customHeight="1" s="5">
      <c r="A76" s="7" t="inlineStr">
        <is>
          <t>U5</t>
        </is>
      </c>
      <c r="B76" s="7">
        <f>LEN(A76)-LEN(SUBSTITUTE(A76,",",""))+1</f>
        <v/>
      </c>
      <c r="C76" s="7" t="inlineStr">
        <is>
          <t>MAX-M10S</t>
        </is>
      </c>
      <c r="D76" s="7" t="inlineStr">
        <is>
          <t>ublox_MAX</t>
        </is>
      </c>
      <c r="E76" s="7" t="inlineStr">
        <is>
          <t>C4153167</t>
        </is>
      </c>
      <c r="F76" s="7" t="inlineStr">
        <is>
          <t>MAX-M10S-00B</t>
        </is>
      </c>
      <c r="G76" s="7" t="inlineStr">
        <is>
          <t>u-blox</t>
        </is>
      </c>
      <c r="H76" s="7" t="n"/>
      <c r="I76" s="7" t="n"/>
      <c r="J76" s="7" t="n"/>
      <c r="K76" s="7" t="n"/>
      <c r="L76" s="7" t="n"/>
      <c r="M76" s="7" t="inlineStr">
        <is>
          <t>Extended</t>
        </is>
      </c>
      <c r="N76" s="8" t="n">
        <v>661</v>
      </c>
      <c r="O76" s="7" t="inlineStr">
        <is>
          <t>JLC SMT</t>
        </is>
      </c>
      <c r="P76" s="7" t="inlineStr">
        <is>
          <t>Top</t>
        </is>
      </c>
      <c r="Q76" s="7" t="inlineStr">
        <is>
          <t>sensors</t>
        </is>
      </c>
      <c r="R76" s="7" t="n"/>
    </row>
    <row r="77" ht="23.85000038146973" customHeight="1" s="5">
      <c r="A77" s="7" t="inlineStr">
        <is>
          <t>U6</t>
        </is>
      </c>
      <c r="B77" s="7">
        <f>LEN(A77)-LEN(SUBSTITUTE(A77,",",""))+1</f>
        <v/>
      </c>
      <c r="C77" s="7" t="inlineStr">
        <is>
          <t>BMP581</t>
        </is>
      </c>
      <c r="D77" s="7" t="inlineStr">
        <is>
          <t>LGA-10_L2.0-W2.0-P0.50-TL_BMP581</t>
        </is>
      </c>
      <c r="E77" s="7" t="inlineStr">
        <is>
          <t>C5362283</t>
        </is>
      </c>
      <c r="F77" s="7" t="inlineStr">
        <is>
          <t>BMP581</t>
        </is>
      </c>
      <c r="G77" s="7" t="inlineStr">
        <is>
          <t>Bosch Sensortec</t>
        </is>
      </c>
      <c r="H77" s="7" t="n"/>
      <c r="I77" s="7" t="n"/>
      <c r="J77" s="7" t="n"/>
      <c r="K77" s="7" t="n"/>
      <c r="L77" s="7" t="n"/>
      <c r="M77" s="7" t="inlineStr">
        <is>
          <t>Extended</t>
        </is>
      </c>
      <c r="N77" s="8" t="n">
        <v>3323</v>
      </c>
      <c r="O77" s="7" t="inlineStr">
        <is>
          <t>JLC SMT</t>
        </is>
      </c>
      <c r="P77" s="7" t="inlineStr">
        <is>
          <t>Top</t>
        </is>
      </c>
      <c r="Q77" s="7" t="inlineStr">
        <is>
          <t>sensors</t>
        </is>
      </c>
      <c r="R77" s="7" t="n"/>
    </row>
    <row r="78" ht="35.04999923706055" customHeight="1" s="5">
      <c r="A78" s="7" t="inlineStr">
        <is>
          <t>U7</t>
        </is>
      </c>
      <c r="B78" s="7">
        <f>LEN(A78)-LEN(SUBSTITUTE(A78,",",""))+1</f>
        <v/>
      </c>
      <c r="C78" s="7" t="inlineStr">
        <is>
          <t>BMI088</t>
        </is>
      </c>
      <c r="D78" s="7" t="inlineStr">
        <is>
          <t>Bosch_LGA-16_4.5x3mm_P0.5mm_LayoutBorder7x1y_ClockwisePinNumbering</t>
        </is>
      </c>
      <c r="E78" s="7" t="inlineStr">
        <is>
          <t>C194919</t>
        </is>
      </c>
      <c r="F78" s="7" t="inlineStr">
        <is>
          <t>BMI088</t>
        </is>
      </c>
      <c r="G78" s="7" t="inlineStr">
        <is>
          <t>Bosch Sensortec</t>
        </is>
      </c>
      <c r="H78" s="7" t="n"/>
      <c r="I78" s="7" t="n"/>
      <c r="J78" s="7" t="n"/>
      <c r="K78" s="7" t="n"/>
      <c r="L78" s="7" t="n"/>
      <c r="M78" s="7" t="inlineStr">
        <is>
          <t>Extended</t>
        </is>
      </c>
      <c r="N78" s="8" t="n">
        <v>4466</v>
      </c>
      <c r="O78" s="7" t="inlineStr">
        <is>
          <t>JLC SMT</t>
        </is>
      </c>
      <c r="P78" s="7" t="inlineStr">
        <is>
          <t>Top</t>
        </is>
      </c>
      <c r="Q78" s="7" t="inlineStr">
        <is>
          <t>sensors</t>
        </is>
      </c>
      <c r="R78" s="7" t="n"/>
    </row>
    <row r="79" ht="23.85000038146973" customHeight="1" s="5">
      <c r="A79" s="7" t="inlineStr">
        <is>
          <t>U8</t>
        </is>
      </c>
      <c r="B79" s="7">
        <f>LEN(A79)-LEN(SUBSTITUTE(A79,",",""))+1</f>
        <v/>
      </c>
      <c r="C79" s="7" t="inlineStr">
        <is>
          <t>ADXL345BCCZ-RL7</t>
        </is>
      </c>
      <c r="D79" s="7" t="inlineStr">
        <is>
          <t>ADI_LGA-14_3x5mm_P0.8mm</t>
        </is>
      </c>
      <c r="E79" s="7" t="inlineStr">
        <is>
          <t>C9667</t>
        </is>
      </c>
      <c r="F79" s="7" t="inlineStr">
        <is>
          <t>ADXL345BCCZ-RL7</t>
        </is>
      </c>
      <c r="G79" s="7" t="inlineStr">
        <is>
          <t>Analog Devices</t>
        </is>
      </c>
      <c r="H79" s="7" t="n"/>
      <c r="I79" s="7" t="n"/>
      <c r="J79" s="7" t="n"/>
      <c r="K79" s="7" t="n"/>
      <c r="L79" s="7" t="n"/>
      <c r="M79" s="7" t="inlineStr">
        <is>
          <t>Extended</t>
        </is>
      </c>
      <c r="N79" s="8" t="n">
        <v>10579</v>
      </c>
      <c r="O79" s="7" t="inlineStr">
        <is>
          <t>JLC SMT</t>
        </is>
      </c>
      <c r="P79" s="7" t="inlineStr">
        <is>
          <t>Top</t>
        </is>
      </c>
      <c r="Q79" s="7" t="inlineStr">
        <is>
          <t>sensors</t>
        </is>
      </c>
      <c r="R79" s="7" t="n"/>
    </row>
    <row r="80" ht="23.85000038146973" customHeight="1" s="5">
      <c r="A80" s="7" t="inlineStr">
        <is>
          <t>U9</t>
        </is>
      </c>
      <c r="B80" s="7">
        <f>LEN(A80)-LEN(SUBSTITUTE(A80,",",""))+1</f>
        <v/>
      </c>
      <c r="C80" s="7" t="inlineStr">
        <is>
          <t>ADXL375BCCZ-RL7</t>
        </is>
      </c>
      <c r="D80" s="7" t="inlineStr">
        <is>
          <t>ADI_LGA-14_3x5mm_P0.8mm</t>
        </is>
      </c>
      <c r="E80" s="7" t="inlineStr">
        <is>
          <t>C481898</t>
        </is>
      </c>
      <c r="F80" s="7" t="inlineStr">
        <is>
          <t>ADXL375BCCZ-RL7</t>
        </is>
      </c>
      <c r="G80" s="7" t="inlineStr">
        <is>
          <t>Analog Devices</t>
        </is>
      </c>
      <c r="H80" s="7" t="n"/>
      <c r="I80" s="7" t="n"/>
      <c r="J80" s="7" t="n"/>
      <c r="K80" s="7" t="n"/>
      <c r="L80" s="7" t="n"/>
      <c r="M80" s="7" t="inlineStr">
        <is>
          <t>Extended</t>
        </is>
      </c>
      <c r="N80" s="8" t="n">
        <v>74</v>
      </c>
      <c r="O80" s="7" t="inlineStr">
        <is>
          <t>JLC SMT</t>
        </is>
      </c>
      <c r="P80" s="7" t="inlineStr">
        <is>
          <t>Top</t>
        </is>
      </c>
      <c r="Q80" s="7" t="inlineStr">
        <is>
          <t>sensors</t>
        </is>
      </c>
      <c r="R80" s="7" t="inlineStr">
        <is>
          <t>Low stock (74 at JLC)</t>
        </is>
      </c>
    </row>
    <row r="81" ht="35.04999923706055" customHeight="1" s="5">
      <c r="A81" s="7" t="inlineStr">
        <is>
          <t>U10</t>
        </is>
      </c>
      <c r="B81" s="7">
        <f>LEN(A81)-LEN(SUBSTITUTE(A81,",",""))+1</f>
        <v/>
      </c>
      <c r="C81" s="7" t="inlineStr">
        <is>
          <t>Ra-01H</t>
        </is>
      </c>
      <c r="D81" s="7" t="inlineStr">
        <is>
          <t>Ai-Thinker_Ra-01H_SMD-16_17x16mm</t>
        </is>
      </c>
      <c r="E81" s="7" t="inlineStr">
        <is>
          <t>C503593</t>
        </is>
      </c>
      <c r="F81" s="7" t="inlineStr">
        <is>
          <t>Ra-01H</t>
        </is>
      </c>
      <c r="G81" s="7" t="inlineStr">
        <is>
          <t>Ai-Thinker</t>
        </is>
      </c>
      <c r="H81" s="7" t="n"/>
      <c r="I81" s="7" t="n"/>
      <c r="J81" s="7" t="n"/>
      <c r="K81" s="7" t="n"/>
      <c r="L81" s="7" t="n"/>
      <c r="M81" s="7" t="inlineStr">
        <is>
          <t>Extended</t>
        </is>
      </c>
      <c r="N81" s="8" t="n">
        <v>835</v>
      </c>
      <c r="O81" s="7" t="inlineStr">
        <is>
          <t>JLC SMT</t>
        </is>
      </c>
      <c r="P81" s="7" t="inlineStr">
        <is>
          <t>Top</t>
        </is>
      </c>
      <c r="Q81" s="7" t="inlineStr">
        <is>
          <t>lora</t>
        </is>
      </c>
      <c r="R81" s="7" t="inlineStr">
        <is>
          <t>SX1276 LoRa, 803-930MHz. IREC SRAD band 913.0-917.0MHz, &lt;=500mW, no hopping. Keep NSS high / put in sleep if unused; never TX without an antenna or 50R load. RESET is open-drain (drive low or Hi-Z only).</t>
        </is>
      </c>
    </row>
    <row r="82" ht="23.85000038146973" customHeight="1" s="5">
      <c r="A82" s="7" t="inlineStr">
        <is>
          <t>U11</t>
        </is>
      </c>
      <c r="B82" s="7">
        <f>LEN(A82)-LEN(SUBSTITUTE(A82,",",""))+1</f>
        <v/>
      </c>
      <c r="C82" s="7" t="inlineStr">
        <is>
          <t>Airlift</t>
        </is>
      </c>
      <c r="D82" s="7" t="inlineStr">
        <is>
          <t>Ada_Airlift</t>
        </is>
      </c>
      <c r="E82" s="7" t="inlineStr">
        <is>
          <t>C2897375</t>
        </is>
      </c>
      <c r="F82" s="7" t="inlineStr">
        <is>
          <t>PM254-1-12-Z-8.5</t>
        </is>
      </c>
      <c r="G82" s="7" t="inlineStr">
        <is>
          <t>HCTL</t>
        </is>
      </c>
      <c r="H82" s="7" t="n"/>
      <c r="I82" s="7" t="n"/>
      <c r="J82" s="7" t="n"/>
      <c r="K82" s="7" t="n"/>
      <c r="L82" s="7" t="n"/>
      <c r="M82" s="7" t="inlineStr">
        <is>
          <t>Extended</t>
        </is>
      </c>
      <c r="N82" s="8" t="n">
        <v>9922</v>
      </c>
      <c r="O82" s="7" t="inlineStr">
        <is>
          <t>Optional (not in JLC BOM)</t>
        </is>
      </c>
      <c r="P82" s="7" t="inlineStr">
        <is>
          <t>Top</t>
        </is>
      </c>
      <c r="Q82" s="7" t="inlineStr">
        <is>
          <t>airlift</t>
        </is>
      </c>
      <c r="R82" s="7" t="inlineStr">
        <is>
          <t>The board-side part is the 1x12 female socket. The Airlift module (Adafruit 4201) plugs in; Also: Adafruit AirLift ESP32 breakout PID 4201 (plugs in, not from LCSC)</t>
        </is>
      </c>
    </row>
    <row r="83" ht="15" customHeight="1" s="5">
      <c r="A83" s="7" t="inlineStr">
        <is>
          <t>Y1</t>
        </is>
      </c>
      <c r="B83" s="7">
        <f>LEN(A83)-LEN(SUBSTITUTE(A83,",",""))+1</f>
        <v/>
      </c>
      <c r="C83" s="7" t="inlineStr">
        <is>
          <t>25MHz</t>
        </is>
      </c>
      <c r="D83" s="7" t="inlineStr">
        <is>
          <t>Crystal_SMD_3225-4Pin_3.2x2.5mm</t>
        </is>
      </c>
      <c r="E83" s="7" t="inlineStr">
        <is>
          <t>C9006</t>
        </is>
      </c>
      <c r="F83" s="7" t="inlineStr">
        <is>
          <t>X322525MOB4SI</t>
        </is>
      </c>
      <c r="G83" s="7" t="inlineStr">
        <is>
          <t>YXC</t>
        </is>
      </c>
      <c r="H83" s="7" t="n"/>
      <c r="I83" s="7" t="n"/>
      <c r="J83" s="7" t="n"/>
      <c r="K83" s="7" t="n"/>
      <c r="L83" s="7" t="n"/>
      <c r="M83" s="7" t="inlineStr">
        <is>
          <t>Basic</t>
        </is>
      </c>
      <c r="N83" s="8" t="n">
        <v>198173</v>
      </c>
      <c r="O83" s="7" t="inlineStr">
        <is>
          <t>JLC SMT</t>
        </is>
      </c>
      <c r="P83" s="7" t="inlineStr">
        <is>
          <t>Top</t>
        </is>
      </c>
      <c r="Q83" s="7" t="inlineStr">
        <is>
          <t>mcu</t>
        </is>
      </c>
      <c r="R83" s="7" t="inlineStr">
        <is>
          <t>25MHz 12pF crystal</t>
        </is>
      </c>
    </row>
    <row r="84" ht="23.85000038146973" customHeight="1" s="5">
      <c r="A84" s="7" t="inlineStr">
        <is>
          <t>Y2</t>
        </is>
      </c>
      <c r="B84" s="7">
        <f>LEN(A84)-LEN(SUBSTITUTE(A84,",",""))+1</f>
        <v/>
      </c>
      <c r="C84" s="7" t="inlineStr">
        <is>
          <t>32.768kHz</t>
        </is>
      </c>
      <c r="D84" s="7" t="inlineStr">
        <is>
          <t>Crystal_SMD_3215-2Pin_3.2x1.5mm</t>
        </is>
      </c>
      <c r="E84" s="7" t="inlineStr">
        <is>
          <t>C20340322</t>
        </is>
      </c>
      <c r="F84" s="7" t="inlineStr">
        <is>
          <t>FC-135 32.7680KA-E</t>
        </is>
      </c>
      <c r="G84" s="7" t="inlineStr">
        <is>
          <t>Seiko Epson</t>
        </is>
      </c>
      <c r="H84" s="7" t="n"/>
      <c r="I84" s="7" t="n"/>
      <c r="J84" s="7" t="n"/>
      <c r="K84" s="7" t="n"/>
      <c r="L84" s="7" t="n"/>
      <c r="M84" s="7" t="inlineStr">
        <is>
          <t>Extended</t>
        </is>
      </c>
      <c r="N84" s="8" t="n">
        <v>4075</v>
      </c>
      <c r="O84" s="7" t="inlineStr">
        <is>
          <t>JLC SMT</t>
        </is>
      </c>
      <c r="P84" s="7" t="inlineStr">
        <is>
          <t>Top</t>
        </is>
      </c>
      <c r="Q84" s="7" t="inlineStr">
        <is>
          <t>mcu</t>
        </is>
      </c>
      <c r="R84" s="7" t="inlineStr">
        <is>
          <t>6pF / 70k ESR crystal: gm_crit ~0.6uA/V. Use LSEDRV = medium-high (1.7uA/V max) for &gt;2x margin</t>
        </is>
      </c>
    </row>
    <row r="85" ht="15" customHeight="1" s="5">
      <c r="A85" s="7" t="n"/>
      <c r="B85" s="7" t="n"/>
      <c r="C85" s="7" t="n"/>
      <c r="D85" s="7" t="n"/>
      <c r="E85" s="7" t="n"/>
      <c r="F85" s="7" t="n"/>
      <c r="G85" s="7" t="n"/>
      <c r="H85" s="7" t="n"/>
      <c r="I85" s="7" t="n"/>
      <c r="J85" s="7" t="n"/>
      <c r="K85" s="7" t="n"/>
      <c r="L85" s="7" t="n"/>
      <c r="M85" s="7" t="n"/>
      <c r="N85" s="7" t="n"/>
      <c r="O85" s="7" t="n"/>
      <c r="P85" s="7" t="n"/>
      <c r="Q85" s="7" t="n"/>
      <c r="R85" s="7" t="n"/>
    </row>
    <row r="86" ht="15" customHeight="1" s="5">
      <c r="A86" s="9" t="inlineStr">
        <is>
          <t>Total placements</t>
        </is>
      </c>
      <c r="B86" s="7">
        <f>SUM(B2:B84)</f>
        <v/>
      </c>
      <c r="C86" s="7" t="n"/>
      <c r="D86" s="7" t="n"/>
      <c r="E86" s="7" t="n"/>
      <c r="F86" s="7" t="n"/>
      <c r="G86" s="7" t="n"/>
      <c r="H86" s="7" t="n"/>
      <c r="I86" s="7" t="n"/>
      <c r="J86" s="7" t="n"/>
      <c r="K86" s="7" t="n"/>
      <c r="L86" s="7" t="n"/>
      <c r="M86" s="7" t="n"/>
      <c r="N86" s="7" t="n"/>
      <c r="O86" s="7" t="n"/>
      <c r="P86" s="7" t="n"/>
      <c r="Q86" s="7" t="n"/>
      <c r="R86" s="7" t="n"/>
    </row>
    <row r="87" ht="26.85000038146973" customHeight="1" s="5">
      <c r="A87" s="9" t="inlineStr">
        <is>
          <t>BOM lines missing an LCSC number</t>
        </is>
      </c>
      <c r="B87" s="7">
        <f>COUNTBLANK(E2:E84)</f>
        <v/>
      </c>
      <c r="C87" s="7" t="n"/>
      <c r="D87" s="7" t="n"/>
      <c r="E87" s="7" t="n"/>
      <c r="F87" s="7" t="n"/>
      <c r="G87" s="7" t="n"/>
      <c r="H87" s="7" t="n"/>
      <c r="I87" s="7" t="n"/>
      <c r="J87" s="7" t="n"/>
      <c r="K87" s="7" t="n"/>
      <c r="L87" s="7" t="n"/>
      <c r="M87" s="7" t="n"/>
      <c r="N87" s="7" t="n"/>
      <c r="O87" s="7" t="n"/>
      <c r="P87" s="7" t="n"/>
      <c r="Q87" s="7" t="n"/>
      <c r="R87" s="7" t="n"/>
    </row>
    <row r="88" ht="64.90000152587891" customHeight="1" s="5">
      <c r="A88" s="9" t="inlineStr">
        <is>
          <t>Not in BOM (no part to buy): TP1-TP11 test points, H1/H2 (3/8in rod holes), H3 (TeleMetrum sled holes).</t>
        </is>
      </c>
      <c r="B88" s="7" t="n"/>
      <c r="C88" s="7" t="n"/>
      <c r="D88" s="7" t="n"/>
      <c r="E88" s="7" t="n"/>
      <c r="F88" s="7" t="n"/>
      <c r="G88" s="7" t="n"/>
      <c r="H88" s="7" t="n"/>
      <c r="I88" s="7" t="n"/>
      <c r="J88" s="7" t="n"/>
      <c r="K88" s="7" t="n"/>
      <c r="L88" s="7" t="n"/>
      <c r="M88" s="7" t="n"/>
      <c r="N88" s="7" t="n"/>
      <c r="O88" s="7" t="n"/>
      <c r="P88" s="7" t="n"/>
      <c r="Q88" s="7" t="n"/>
      <c r="R88" s="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74"/>
  <sheetViews>
    <sheetView showGridLines="1" workbookViewId="0">
      <pane ySplit="1" topLeftCell="A2" activePane="bottomLeft" state="frozen"/>
      <selection activeCell="A1" sqref="A1"/>
    </sheetView>
  </sheetViews>
  <sheetFormatPr baseColWidth="8" defaultColWidth="8.6796875" defaultRowHeight="15"/>
  <cols>
    <col width="22" customWidth="1" style="5" min="1" max="1"/>
    <col width="40" customWidth="1" style="5" min="2" max="3"/>
    <col width="14" customWidth="1" style="5" min="4" max="4"/>
  </cols>
  <sheetData>
    <row r="1" ht="15" customHeight="1" s="5">
      <c r="A1" s="6" t="inlineStr">
        <is>
          <t>Comment</t>
        </is>
      </c>
      <c r="B1" s="6" t="inlineStr">
        <is>
          <t>Designator</t>
        </is>
      </c>
      <c r="C1" s="6" t="inlineStr">
        <is>
          <t>Footprint</t>
        </is>
      </c>
      <c r="D1" s="6" t="inlineStr">
        <is>
          <t>LCSC Part #</t>
        </is>
      </c>
    </row>
    <row r="2" ht="15" customHeight="1" s="5">
      <c r="A2" s="7" t="inlineStr">
        <is>
          <t>HNB09A03</t>
        </is>
      </c>
      <c r="B2" s="7" t="inlineStr">
        <is>
          <t>BZ1</t>
        </is>
      </c>
      <c r="C2" s="7" t="inlineStr">
        <is>
          <t>BUZ-TH_BD9.0-P5.00-D0.6-FD</t>
        </is>
      </c>
      <c r="D2" s="7" t="inlineStr">
        <is>
          <t>C96102</t>
        </is>
      </c>
    </row>
    <row r="3" ht="15" customHeight="1" s="5">
      <c r="A3" s="7" t="inlineStr">
        <is>
          <t>CL21B475KAFNNNE</t>
        </is>
      </c>
      <c r="B3" s="7" t="inlineStr">
        <is>
          <t>C1</t>
        </is>
      </c>
      <c r="C3" s="7" t="inlineStr">
        <is>
          <t>C_0805_2012Metric</t>
        </is>
      </c>
      <c r="D3" s="7" t="inlineStr">
        <is>
          <t>C98195</t>
        </is>
      </c>
    </row>
    <row r="4" ht="23.85000038146973" customHeight="1" s="5">
      <c r="A4" s="7" t="inlineStr">
        <is>
          <t>CL05B104KO5NNNC</t>
        </is>
      </c>
      <c r="B4" s="7" t="inlineStr">
        <is>
          <t>C2,C3,C4,C5,C7,C8,C9,C25,C26,C27,C29,C30,C31,C33,C35,C38,C43,C44</t>
        </is>
      </c>
      <c r="C4" s="7" t="inlineStr">
        <is>
          <t>C_0402_1005Metric</t>
        </is>
      </c>
      <c r="D4" s="7" t="inlineStr">
        <is>
          <t>C1525</t>
        </is>
      </c>
    </row>
    <row r="5" ht="15" customHeight="1" s="5">
      <c r="A5" s="7" t="inlineStr">
        <is>
          <t>CL10B105KA8NNNC</t>
        </is>
      </c>
      <c r="B5" s="7" t="inlineStr">
        <is>
          <t>C6,C11,C12</t>
        </is>
      </c>
      <c r="C5" s="7" t="inlineStr">
        <is>
          <t>C_0603_1608Metric</t>
        </is>
      </c>
      <c r="D5" s="7" t="inlineStr">
        <is>
          <t>C29936</t>
        </is>
      </c>
    </row>
    <row r="6" ht="15" customHeight="1" s="5">
      <c r="A6" s="7" t="inlineStr">
        <is>
          <t>CL05B103KB5NNNC</t>
        </is>
      </c>
      <c r="B6" s="7" t="inlineStr">
        <is>
          <t>C10</t>
        </is>
      </c>
      <c r="C6" s="7" t="inlineStr">
        <is>
          <t>C_0402_1005Metric</t>
        </is>
      </c>
      <c r="D6" s="7" t="inlineStr">
        <is>
          <t>C15195</t>
        </is>
      </c>
    </row>
    <row r="7" ht="15" customHeight="1" s="5">
      <c r="A7" s="7" t="inlineStr">
        <is>
          <t>0402CG150J500NT</t>
        </is>
      </c>
      <c r="B7" s="7" t="inlineStr">
        <is>
          <t>C13,C15</t>
        </is>
      </c>
      <c r="C7" s="7" t="inlineStr">
        <is>
          <t>C_0402_1005Metric</t>
        </is>
      </c>
      <c r="D7" s="7" t="inlineStr">
        <is>
          <t>C1548</t>
        </is>
      </c>
    </row>
    <row r="8" ht="15" customHeight="1" s="5">
      <c r="A8" s="7" t="inlineStr">
        <is>
          <t>CC0603KRX7R9BB104</t>
        </is>
      </c>
      <c r="B8" s="7" t="inlineStr">
        <is>
          <t>C14</t>
        </is>
      </c>
      <c r="C8" s="7" t="inlineStr">
        <is>
          <t>C_0603_1608Metric</t>
        </is>
      </c>
      <c r="D8" s="7" t="inlineStr">
        <is>
          <t>C14663</t>
        </is>
      </c>
    </row>
    <row r="9" ht="15" customHeight="1" s="5">
      <c r="A9" s="7" t="inlineStr">
        <is>
          <t>0402CG4R7C500NT</t>
        </is>
      </c>
      <c r="B9" s="7" t="inlineStr">
        <is>
          <t>C16,C17</t>
        </is>
      </c>
      <c r="C9" s="7" t="inlineStr">
        <is>
          <t>C_0402_1005Metric</t>
        </is>
      </c>
      <c r="D9" s="7" t="inlineStr">
        <is>
          <t>C1569</t>
        </is>
      </c>
    </row>
    <row r="10" ht="15" customHeight="1" s="5">
      <c r="A10" s="7" t="inlineStr">
        <is>
          <t>CL21A106KAYNNNE</t>
        </is>
      </c>
      <c r="B10" s="7" t="inlineStr">
        <is>
          <t>C18,C19,C37</t>
        </is>
      </c>
      <c r="C10" s="7" t="inlineStr">
        <is>
          <t>C_0805_2012Metric</t>
        </is>
      </c>
      <c r="D10" s="7" t="inlineStr">
        <is>
          <t>C15850</t>
        </is>
      </c>
    </row>
    <row r="11" ht="15" customHeight="1" s="5">
      <c r="A11" s="7" t="inlineStr">
        <is>
          <t>CL05A105KA5NQNC</t>
        </is>
      </c>
      <c r="B11" s="7" t="inlineStr">
        <is>
          <t>C20,C21</t>
        </is>
      </c>
      <c r="C11" s="7" t="inlineStr">
        <is>
          <t>C_0402_1005Metric</t>
        </is>
      </c>
      <c r="D11" s="7" t="inlineStr">
        <is>
          <t>C52923</t>
        </is>
      </c>
    </row>
    <row r="12" ht="15" customHeight="1" s="5">
      <c r="A12" s="7" t="inlineStr">
        <is>
          <t>CL21A226MAQNNNE</t>
        </is>
      </c>
      <c r="B12" s="7" t="inlineStr">
        <is>
          <t>C22,C23,C36</t>
        </is>
      </c>
      <c r="C12" s="7" t="inlineStr">
        <is>
          <t>C_0805_2012Metric</t>
        </is>
      </c>
      <c r="D12" s="7" t="inlineStr">
        <is>
          <t>C45783</t>
        </is>
      </c>
    </row>
    <row r="13" ht="15" customHeight="1" s="5">
      <c r="A13" s="7" t="inlineStr">
        <is>
          <t>CL31A107MQHNNNE</t>
        </is>
      </c>
      <c r="B13" s="7" t="inlineStr">
        <is>
          <t>C24</t>
        </is>
      </c>
      <c r="C13" s="7" t="inlineStr">
        <is>
          <t>C_1206_3216Metric</t>
        </is>
      </c>
      <c r="D13" s="7" t="inlineStr">
        <is>
          <t>C15008</t>
        </is>
      </c>
    </row>
    <row r="14" ht="15" customHeight="1" s="5">
      <c r="A14" s="7" t="inlineStr">
        <is>
          <t>CL10A106KP8NNNC</t>
        </is>
      </c>
      <c r="B14" s="7" t="inlineStr">
        <is>
          <t>C28</t>
        </is>
      </c>
      <c r="C14" s="7" t="inlineStr">
        <is>
          <t>C_0603_1608Metric</t>
        </is>
      </c>
      <c r="D14" s="7" t="inlineStr">
        <is>
          <t>C19702</t>
        </is>
      </c>
    </row>
    <row r="15" ht="15" customHeight="1" s="5">
      <c r="A15" s="7" t="inlineStr">
        <is>
          <t>TAJR105K010RNJ</t>
        </is>
      </c>
      <c r="B15" s="7" t="inlineStr">
        <is>
          <t>C32,C34</t>
        </is>
      </c>
      <c r="C15" s="7" t="inlineStr">
        <is>
          <t>CP_EIA-2012-12_Kemet-R</t>
        </is>
      </c>
      <c r="D15" s="7" t="inlineStr">
        <is>
          <t>C444768</t>
        </is>
      </c>
    </row>
    <row r="16" ht="15" customHeight="1" s="5">
      <c r="A16" s="7" t="inlineStr">
        <is>
          <t>CC0603KRX7R9BB154</t>
        </is>
      </c>
      <c r="B16" s="7" t="inlineStr">
        <is>
          <t>C39,C40</t>
        </is>
      </c>
      <c r="C16" s="7" t="inlineStr">
        <is>
          <t>C_0603_1608Metric</t>
        </is>
      </c>
      <c r="D16" s="7" t="inlineStr">
        <is>
          <t>C513735</t>
        </is>
      </c>
    </row>
    <row r="17" ht="15" customHeight="1" s="5">
      <c r="A17" s="7" t="inlineStr">
        <is>
          <t>RVT1E331M0810</t>
        </is>
      </c>
      <c r="B17" s="7" t="inlineStr">
        <is>
          <t>C41,C42</t>
        </is>
      </c>
      <c r="C17" s="7" t="inlineStr">
        <is>
          <t>CP_Elec_8x10</t>
        </is>
      </c>
      <c r="D17" s="7" t="inlineStr">
        <is>
          <t>C970701</t>
        </is>
      </c>
    </row>
    <row r="18" ht="15" customHeight="1" s="5">
      <c r="A18" s="7" t="inlineStr">
        <is>
          <t>CL31A476MPHNNNE</t>
        </is>
      </c>
      <c r="B18" s="7" t="inlineStr">
        <is>
          <t>C45</t>
        </is>
      </c>
      <c r="C18" s="7" t="inlineStr">
        <is>
          <t>C_1206_3216Metric</t>
        </is>
      </c>
      <c r="D18" s="7" t="inlineStr">
        <is>
          <t>C96123</t>
        </is>
      </c>
    </row>
    <row r="19" ht="15" customHeight="1" s="5">
      <c r="A19" s="7" t="inlineStr">
        <is>
          <t>SMBJ5.0A</t>
        </is>
      </c>
      <c r="B19" s="7" t="inlineStr">
        <is>
          <t>D1</t>
        </is>
      </c>
      <c r="C19" s="7" t="inlineStr">
        <is>
          <t>D_SMB</t>
        </is>
      </c>
      <c r="D19" s="7" t="inlineStr">
        <is>
          <t>C78423</t>
        </is>
      </c>
    </row>
    <row r="20" ht="15" customHeight="1" s="5">
      <c r="A20" s="7" t="inlineStr">
        <is>
          <t>RS-3535MWAR</t>
        </is>
      </c>
      <c r="B20" s="7" t="inlineStr">
        <is>
          <t>D2</t>
        </is>
      </c>
      <c r="C20" s="7" t="inlineStr">
        <is>
          <t>LED-SMD_RS-3535MWAR-2JYJY-J</t>
        </is>
      </c>
      <c r="D20" s="7" t="inlineStr">
        <is>
          <t>C110402</t>
        </is>
      </c>
    </row>
    <row r="21" ht="15" customHeight="1" s="5">
      <c r="A21" s="7" t="inlineStr">
        <is>
          <t>KT-0805Y</t>
        </is>
      </c>
      <c r="B21" s="7" t="inlineStr">
        <is>
          <t>D3,D4,D5,D6</t>
        </is>
      </c>
      <c r="C21" s="7" t="inlineStr">
        <is>
          <t>LED_0805_2012Metric</t>
        </is>
      </c>
      <c r="D21" s="7" t="inlineStr">
        <is>
          <t>C2296</t>
        </is>
      </c>
    </row>
    <row r="22" ht="15" customHeight="1" s="5">
      <c r="A22" s="7" t="inlineStr">
        <is>
          <t>KT-0603R</t>
        </is>
      </c>
      <c r="B22" s="7" t="inlineStr">
        <is>
          <t>D7,D8</t>
        </is>
      </c>
      <c r="C22" s="7" t="inlineStr">
        <is>
          <t>LED_0603_1608Metric</t>
        </is>
      </c>
      <c r="D22" s="7" t="inlineStr">
        <is>
          <t>C2286</t>
        </is>
      </c>
    </row>
    <row r="23" ht="15" customHeight="1" s="5">
      <c r="A23" s="7" t="inlineStr">
        <is>
          <t>1N4148W</t>
        </is>
      </c>
      <c r="B23" s="7" t="inlineStr">
        <is>
          <t>D9,D10</t>
        </is>
      </c>
      <c r="C23" s="7" t="inlineStr">
        <is>
          <t>D_SOD-123</t>
        </is>
      </c>
      <c r="D23" s="7" t="inlineStr">
        <is>
          <t>C81598</t>
        </is>
      </c>
    </row>
    <row r="24" ht="15" customHeight="1" s="5">
      <c r="A24" s="7" t="inlineStr">
        <is>
          <t>1812L150/24MR</t>
        </is>
      </c>
      <c r="B24" s="7" t="inlineStr">
        <is>
          <t>F1,F2</t>
        </is>
      </c>
      <c r="C24" s="7" t="inlineStr">
        <is>
          <t>Fuse_1812_4532Metric</t>
        </is>
      </c>
      <c r="D24" s="7" t="inlineStr">
        <is>
          <t>C142805</t>
        </is>
      </c>
    </row>
    <row r="25" ht="15" customHeight="1" s="5">
      <c r="A25" s="7" t="inlineStr">
        <is>
          <t>GZ2012D101TF</t>
        </is>
      </c>
      <c r="B25" s="7" t="inlineStr">
        <is>
          <t>FB1</t>
        </is>
      </c>
      <c r="C25" s="7" t="inlineStr">
        <is>
          <t>L_0805_2012Metric</t>
        </is>
      </c>
      <c r="D25" s="7" t="inlineStr">
        <is>
          <t>C1015</t>
        </is>
      </c>
    </row>
    <row r="26" ht="15" customHeight="1" s="5">
      <c r="A26" s="7" t="inlineStr">
        <is>
          <t>B39162B4300F210</t>
        </is>
      </c>
      <c r="B26" s="7" t="inlineStr">
        <is>
          <t>FL1</t>
        </is>
      </c>
      <c r="C26" s="7" t="inlineStr">
        <is>
          <t>FILTER-SMD_5P-L1.4-W1.1_RSFPXXXXD</t>
        </is>
      </c>
      <c r="D26" s="7" t="inlineStr">
        <is>
          <t>C2650962</t>
        </is>
      </c>
    </row>
    <row r="27" ht="15" customHeight="1" s="5">
      <c r="A27" s="7" t="inlineStr">
        <is>
          <t>FTSH-107-01-L-DV-K-A</t>
        </is>
      </c>
      <c r="B27" s="7" t="inlineStr">
        <is>
          <t>J1</t>
        </is>
      </c>
      <c r="C27" s="7" t="inlineStr">
        <is>
          <t>STDC14_SAMTEC_FTSH-107-01-L-DV-K-A</t>
        </is>
      </c>
      <c r="D27" s="7" t="inlineStr">
        <is>
          <t>C5563894</t>
        </is>
      </c>
    </row>
    <row r="28" ht="15" customHeight="1" s="5">
      <c r="A28" s="7" t="inlineStr">
        <is>
          <t>TYPE-C-31-M-12</t>
        </is>
      </c>
      <c r="B28" s="7" t="inlineStr">
        <is>
          <t>J3</t>
        </is>
      </c>
      <c r="C28" s="7" t="inlineStr">
        <is>
          <t>USB_C_Receptacle_HRO_TYPE-C-31-M-12</t>
        </is>
      </c>
      <c r="D28" s="7" t="inlineStr">
        <is>
          <t>C165948</t>
        </is>
      </c>
    </row>
    <row r="29" ht="15" customHeight="1" s="5">
      <c r="A29" s="7" t="inlineStr">
        <is>
          <t>BWSMA-KE-Z001</t>
        </is>
      </c>
      <c r="B29" s="7" t="inlineStr">
        <is>
          <t>J4</t>
        </is>
      </c>
      <c r="C29" s="7" t="inlineStr">
        <is>
          <t>SMA_BAT-Wireless_BWSMA-KE-Z001_Vertical</t>
        </is>
      </c>
      <c r="D29" s="7" t="inlineStr">
        <is>
          <t>C496549</t>
        </is>
      </c>
    </row>
    <row r="30" ht="15" customHeight="1" s="5">
      <c r="A30" s="7" t="inlineStr">
        <is>
          <t>TF-102-15</t>
        </is>
      </c>
      <c r="B30" s="7" t="inlineStr">
        <is>
          <t>J5</t>
        </is>
      </c>
      <c r="C30" s="7" t="inlineStr">
        <is>
          <t>TF-SMD_TF-102-15</t>
        </is>
      </c>
      <c r="D30" s="7" t="inlineStr">
        <is>
          <t>C266609</t>
        </is>
      </c>
    </row>
    <row r="31" ht="15" customHeight="1" s="5">
      <c r="A31" s="7" t="inlineStr">
        <is>
          <t>BM04B-SRSS-TB(LF)(SN)</t>
        </is>
      </c>
      <c r="B31" s="7" t="inlineStr">
        <is>
          <t>J6,J8</t>
        </is>
      </c>
      <c r="C31" s="7" t="inlineStr">
        <is>
          <t>StemmaQT</t>
        </is>
      </c>
      <c r="D31" s="7" t="inlineStr">
        <is>
          <t>C160390</t>
        </is>
      </c>
    </row>
    <row r="32" ht="23.85000038146973" customHeight="1" s="5">
      <c r="A32" s="7" t="inlineStr">
        <is>
          <t>BM04B-GHS-TBT(LF)(SN)</t>
        </is>
      </c>
      <c r="B32" s="7" t="inlineStr">
        <is>
          <t>J7,J11,J12</t>
        </is>
      </c>
      <c r="C32" s="7" t="inlineStr">
        <is>
          <t>JST_GH_BM04B-GHS-TBT_1x04-1MP_P1.25mm_Vertical</t>
        </is>
      </c>
      <c r="D32" s="7" t="inlineStr">
        <is>
          <t>C161692</t>
        </is>
      </c>
    </row>
    <row r="33" ht="15" customHeight="1" s="5">
      <c r="A33" s="7" t="inlineStr">
        <is>
          <t>PZ254V-11-07P</t>
        </is>
      </c>
      <c r="B33" s="7" t="inlineStr">
        <is>
          <t>J9,J10</t>
        </is>
      </c>
      <c r="C33" s="7" t="inlineStr">
        <is>
          <t>PinHeader_1x07_P2.54mm_Vertical</t>
        </is>
      </c>
      <c r="D33" s="7" t="inlineStr">
        <is>
          <t>C492406</t>
        </is>
      </c>
    </row>
    <row r="34" ht="23.85000038146973" customHeight="1" s="5">
      <c r="A34" s="7" t="inlineStr">
        <is>
          <t>WJ128V-5.0-02P-14-00A</t>
        </is>
      </c>
      <c r="B34" s="7" t="inlineStr">
        <is>
          <t>J14</t>
        </is>
      </c>
      <c r="C34" s="7" t="inlineStr">
        <is>
          <t>TerminalBlock_Kangnex_WJ128V-5.0-2P_C8269</t>
        </is>
      </c>
      <c r="D34" s="7" t="inlineStr">
        <is>
          <t>C8269</t>
        </is>
      </c>
    </row>
    <row r="35" ht="15" customHeight="1" s="5">
      <c r="A35" s="7" t="inlineStr">
        <is>
          <t>XFL4015-471MEC</t>
        </is>
      </c>
      <c r="B35" s="7" t="inlineStr">
        <is>
          <t>L1</t>
        </is>
      </c>
      <c r="C35" s="7" t="inlineStr">
        <is>
          <t>L_Coilcraft_XxL4020</t>
        </is>
      </c>
      <c r="D35" s="7" t="inlineStr">
        <is>
          <t>C18221164</t>
        </is>
      </c>
    </row>
    <row r="36" ht="15" customHeight="1" s="5">
      <c r="A36" s="7" t="inlineStr">
        <is>
          <t>DMP2022LSS-13</t>
        </is>
      </c>
      <c r="B36" s="7" t="inlineStr">
        <is>
          <t>Q1,Q5,Q6</t>
        </is>
      </c>
      <c r="C36" s="7" t="inlineStr">
        <is>
          <t>SOIC-8_3.9x4.9mm_P1.27mm</t>
        </is>
      </c>
      <c r="D36" s="7" t="inlineStr">
        <is>
          <t>C154919</t>
        </is>
      </c>
    </row>
    <row r="37" ht="15" customHeight="1" s="5">
      <c r="A37" s="7" t="inlineStr">
        <is>
          <t>AO3400A</t>
        </is>
      </c>
      <c r="B37" s="7" t="inlineStr">
        <is>
          <t>Q2,Q3,Q4</t>
        </is>
      </c>
      <c r="C37" s="7" t="inlineStr">
        <is>
          <t>SOT-23</t>
        </is>
      </c>
      <c r="D37" s="7" t="inlineStr">
        <is>
          <t>C20917</t>
        </is>
      </c>
    </row>
    <row r="38" ht="15" customHeight="1" s="5">
      <c r="A38" s="7" t="inlineStr">
        <is>
          <t>0402WGF470JTCE</t>
        </is>
      </c>
      <c r="B38" s="7" t="inlineStr">
        <is>
          <t>R1</t>
        </is>
      </c>
      <c r="C38" s="7" t="inlineStr">
        <is>
          <t>R_0402_1005Metric</t>
        </is>
      </c>
      <c r="D38" s="7" t="inlineStr">
        <is>
          <t>C25118</t>
        </is>
      </c>
    </row>
    <row r="39" ht="15" customHeight="1" s="5">
      <c r="A39" s="7" t="inlineStr">
        <is>
          <t>0603WAF1002T5E</t>
        </is>
      </c>
      <c r="B39" s="7" t="inlineStr">
        <is>
          <t>R2,R3</t>
        </is>
      </c>
      <c r="C39" s="7" t="inlineStr">
        <is>
          <t>R_0603_1608Metric</t>
        </is>
      </c>
      <c r="D39" s="7" t="inlineStr">
        <is>
          <t>C25804</t>
        </is>
      </c>
    </row>
    <row r="40" ht="15" customHeight="1" s="5">
      <c r="A40" s="7" t="inlineStr">
        <is>
          <t>0402WGF1000TCE</t>
        </is>
      </c>
      <c r="B40" s="7" t="inlineStr">
        <is>
          <t>R4,R22,R42,R44</t>
        </is>
      </c>
      <c r="C40" s="7" t="inlineStr">
        <is>
          <t>R_0402_1005Metric</t>
        </is>
      </c>
      <c r="D40" s="7" t="inlineStr">
        <is>
          <t>C25076</t>
        </is>
      </c>
    </row>
    <row r="41" ht="15" customHeight="1" s="5">
      <c r="A41" s="7" t="inlineStr">
        <is>
          <t>0402WGF5101TCE</t>
        </is>
      </c>
      <c r="B41" s="7" t="inlineStr">
        <is>
          <t>R5,R6</t>
        </is>
      </c>
      <c r="C41" s="7" t="inlineStr">
        <is>
          <t>R_0402_1005Metric</t>
        </is>
      </c>
      <c r="D41" s="7" t="inlineStr">
        <is>
          <t>C25905</t>
        </is>
      </c>
    </row>
    <row r="42" ht="15" customHeight="1" s="5">
      <c r="A42" s="7" t="inlineStr">
        <is>
          <t>0603WAF0000T5E</t>
        </is>
      </c>
      <c r="B42" s="7" t="inlineStr">
        <is>
          <t>R7</t>
        </is>
      </c>
      <c r="C42" s="7" t="inlineStr">
        <is>
          <t>R_0603_1608Metric</t>
        </is>
      </c>
      <c r="D42" s="7" t="inlineStr">
        <is>
          <t>C21189</t>
        </is>
      </c>
    </row>
    <row r="43" ht="15" customHeight="1" s="5">
      <c r="A43" s="7" t="inlineStr">
        <is>
          <t>0402WGF1003TCE</t>
        </is>
      </c>
      <c r="B43" s="7" t="inlineStr">
        <is>
          <t>R8</t>
        </is>
      </c>
      <c r="C43" s="7" t="inlineStr">
        <is>
          <t>R_0402_1005Metric</t>
        </is>
      </c>
      <c r="D43" s="7" t="inlineStr">
        <is>
          <t>C25741</t>
        </is>
      </c>
    </row>
    <row r="44" ht="23.85000038146973" customHeight="1" s="5">
      <c r="A44" s="7" t="inlineStr">
        <is>
          <t>0402WGF1002TCE</t>
        </is>
      </c>
      <c r="B44" s="7" t="inlineStr">
        <is>
          <t>R9,R12,R15,R27,R32,R33,R34,R35,R36,R51,R52,R55,R56</t>
        </is>
      </c>
      <c r="C44" s="7" t="inlineStr">
        <is>
          <t>R_0402_1005Metric</t>
        </is>
      </c>
      <c r="D44" s="7" t="inlineStr">
        <is>
          <t>C25744</t>
        </is>
      </c>
    </row>
    <row r="45" ht="15" customHeight="1" s="5">
      <c r="A45" s="7" t="inlineStr">
        <is>
          <t>0402WGF2202TCE</t>
        </is>
      </c>
      <c r="B45" s="7" t="inlineStr">
        <is>
          <t>R10</t>
        </is>
      </c>
      <c r="C45" s="7" t="inlineStr">
        <is>
          <t>R_0402_1005Metric</t>
        </is>
      </c>
      <c r="D45" s="7" t="inlineStr">
        <is>
          <t>C25768</t>
        </is>
      </c>
    </row>
    <row r="46" ht="15" customHeight="1" s="5">
      <c r="A46" s="7" t="inlineStr">
        <is>
          <t>0402WGF3302TCE</t>
        </is>
      </c>
      <c r="B46" s="7" t="inlineStr">
        <is>
          <t>R11</t>
        </is>
      </c>
      <c r="C46" s="7" t="inlineStr">
        <is>
          <t>R_0402_1005Metric</t>
        </is>
      </c>
      <c r="D46" s="7" t="inlineStr">
        <is>
          <t>C25779</t>
        </is>
      </c>
    </row>
    <row r="47" ht="15" customHeight="1" s="5">
      <c r="A47" s="7" t="inlineStr">
        <is>
          <t>0402WGF5113TCE</t>
        </is>
      </c>
      <c r="B47" s="7" t="inlineStr">
        <is>
          <t>R13</t>
        </is>
      </c>
      <c r="C47" s="7" t="inlineStr">
        <is>
          <t>R_0402_1005Metric</t>
        </is>
      </c>
      <c r="D47" s="7" t="inlineStr">
        <is>
          <t>C64042</t>
        </is>
      </c>
    </row>
    <row r="48" ht="15" customHeight="1" s="5">
      <c r="A48" s="7" t="inlineStr">
        <is>
          <t>0402WGF9102TCE</t>
        </is>
      </c>
      <c r="B48" s="7" t="inlineStr">
        <is>
          <t>R14</t>
        </is>
      </c>
      <c r="C48" s="7" t="inlineStr">
        <is>
          <t>R_0402_1005Metric</t>
        </is>
      </c>
      <c r="D48" s="7" t="inlineStr">
        <is>
          <t>C4147</t>
        </is>
      </c>
    </row>
    <row r="49" ht="15" customHeight="1" s="5">
      <c r="A49" s="7" t="inlineStr">
        <is>
          <t>0402WGF100JTCE</t>
        </is>
      </c>
      <c r="B49" s="7" t="inlineStr">
        <is>
          <t>R16,R17,R18,R28,R29,R30,R31</t>
        </is>
      </c>
      <c r="C49" s="7" t="inlineStr">
        <is>
          <t>R_0402_1005Metric</t>
        </is>
      </c>
      <c r="D49" s="7" t="inlineStr">
        <is>
          <t>C25077</t>
        </is>
      </c>
    </row>
    <row r="50" ht="15" customHeight="1" s="5">
      <c r="A50" s="7" t="inlineStr">
        <is>
          <t>0402WGF3301TCE</t>
        </is>
      </c>
      <c r="B50" s="7" t="inlineStr">
        <is>
          <t>R19</t>
        </is>
      </c>
      <c r="C50" s="7" t="inlineStr">
        <is>
          <t>R_0402_1005Metric</t>
        </is>
      </c>
      <c r="D50" s="7" t="inlineStr">
        <is>
          <t>C25890</t>
        </is>
      </c>
    </row>
    <row r="51" ht="15" customHeight="1" s="5">
      <c r="A51" s="7" t="inlineStr">
        <is>
          <t>0402WGF2700TCE</t>
        </is>
      </c>
      <c r="B51" s="7" t="inlineStr">
        <is>
          <t>R20</t>
        </is>
      </c>
      <c r="C51" s="7" t="inlineStr">
        <is>
          <t>R_0402_1005Metric</t>
        </is>
      </c>
      <c r="D51" s="7" t="inlineStr">
        <is>
          <t>C25099</t>
        </is>
      </c>
    </row>
    <row r="52" ht="15" customHeight="1" s="5">
      <c r="A52" s="7" t="inlineStr">
        <is>
          <t>0402WGF3300TCE</t>
        </is>
      </c>
      <c r="B52" s="7" t="inlineStr">
        <is>
          <t>R21,R37,R38</t>
        </is>
      </c>
      <c r="C52" s="7" t="inlineStr">
        <is>
          <t>R_0402_1005Metric</t>
        </is>
      </c>
      <c r="D52" s="7" t="inlineStr">
        <is>
          <t>C25104</t>
        </is>
      </c>
    </row>
    <row r="53" ht="15" customHeight="1" s="5">
      <c r="A53" s="7" t="inlineStr">
        <is>
          <t>0402WGF4700TCE</t>
        </is>
      </c>
      <c r="B53" s="7" t="inlineStr">
        <is>
          <t>R23,R24</t>
        </is>
      </c>
      <c r="C53" s="7" t="inlineStr">
        <is>
          <t>R_0402_1005Metric</t>
        </is>
      </c>
      <c r="D53" s="7" t="inlineStr">
        <is>
          <t>C25117</t>
        </is>
      </c>
    </row>
    <row r="54" ht="15" customHeight="1" s="5">
      <c r="A54" s="7" t="inlineStr">
        <is>
          <t>0402WGF9100TCE</t>
        </is>
      </c>
      <c r="B54" s="7" t="inlineStr">
        <is>
          <t>R25</t>
        </is>
      </c>
      <c r="C54" s="7" t="inlineStr">
        <is>
          <t>R_0402_1005Metric</t>
        </is>
      </c>
      <c r="D54" s="7" t="inlineStr">
        <is>
          <t>C44933</t>
        </is>
      </c>
    </row>
    <row r="55" ht="15" customHeight="1" s="5">
      <c r="A55" s="7" t="inlineStr">
        <is>
          <t>0603WAF3300T5E</t>
        </is>
      </c>
      <c r="B55" s="7" t="inlineStr">
        <is>
          <t>R26</t>
        </is>
      </c>
      <c r="C55" s="7" t="inlineStr">
        <is>
          <t>R_0603_1608Metric</t>
        </is>
      </c>
      <c r="D55" s="7" t="inlineStr">
        <is>
          <t>C23138</t>
        </is>
      </c>
    </row>
    <row r="56" ht="15" customHeight="1" s="5">
      <c r="A56" s="7" t="inlineStr">
        <is>
          <t>0402WGF8201TCE</t>
        </is>
      </c>
      <c r="B56" s="7" t="inlineStr">
        <is>
          <t>R39,R40</t>
        </is>
      </c>
      <c r="C56" s="7" t="inlineStr">
        <is>
          <t>R_0402_1005Metric</t>
        </is>
      </c>
      <c r="D56" s="7" t="inlineStr">
        <is>
          <t>C25924</t>
        </is>
      </c>
    </row>
    <row r="57" ht="15" customHeight="1" s="5">
      <c r="A57" s="7" t="inlineStr">
        <is>
          <t>1206W4F1002T5E</t>
        </is>
      </c>
      <c r="B57" s="7" t="inlineStr">
        <is>
          <t>R41,R43</t>
        </is>
      </c>
      <c r="C57" s="7" t="inlineStr">
        <is>
          <t>R_1206_3216Metric</t>
        </is>
      </c>
      <c r="D57" s="7" t="inlineStr">
        <is>
          <t>C17902</t>
        </is>
      </c>
    </row>
    <row r="58" ht="15" customHeight="1" s="5">
      <c r="A58" s="7" t="inlineStr">
        <is>
          <t>CRM2512-FX-1R00ELF</t>
        </is>
      </c>
      <c r="B58" s="7" t="inlineStr">
        <is>
          <t>R45,R46,R47,R48</t>
        </is>
      </c>
      <c r="C58" s="7" t="inlineStr">
        <is>
          <t>R_2512_6332Metric</t>
        </is>
      </c>
      <c r="D58" s="7" t="inlineStr">
        <is>
          <t>C840604</t>
        </is>
      </c>
    </row>
    <row r="59" ht="15" customHeight="1" s="5">
      <c r="A59" s="7" t="inlineStr">
        <is>
          <t>0603WAF3301T5E</t>
        </is>
      </c>
      <c r="B59" s="7" t="inlineStr">
        <is>
          <t>R49,R50</t>
        </is>
      </c>
      <c r="C59" s="7" t="inlineStr">
        <is>
          <t>R_0603_1608Metric</t>
        </is>
      </c>
      <c r="D59" s="7" t="inlineStr">
        <is>
          <t>C22978</t>
        </is>
      </c>
    </row>
    <row r="60" ht="15" customHeight="1" s="5">
      <c r="A60" s="7" t="inlineStr">
        <is>
          <t>0402WGF4701TCE</t>
        </is>
      </c>
      <c r="B60" s="7" t="inlineStr">
        <is>
          <t>R53,R54</t>
        </is>
      </c>
      <c r="C60" s="7" t="inlineStr">
        <is>
          <t>R_0402_1005Metric</t>
        </is>
      </c>
      <c r="D60" s="7" t="inlineStr">
        <is>
          <t>C25900</t>
        </is>
      </c>
    </row>
    <row r="61" ht="15" customHeight="1" s="5">
      <c r="A61" s="7" t="inlineStr">
        <is>
          <t>TL3342F160QG</t>
        </is>
      </c>
      <c r="B61" s="7" t="inlineStr">
        <is>
          <t>SW1,SW2</t>
        </is>
      </c>
      <c r="C61" s="7" t="inlineStr">
        <is>
          <t>SW_SPST_TL3342</t>
        </is>
      </c>
      <c r="D61" s="7" t="inlineStr">
        <is>
          <t>C2886898</t>
        </is>
      </c>
    </row>
    <row r="62" ht="15" customHeight="1" s="5">
      <c r="A62" s="7" t="inlineStr">
        <is>
          <t>B2B-XH-A(LF)(SN)</t>
        </is>
      </c>
      <c r="B62" s="7" t="inlineStr">
        <is>
          <t>SW3</t>
        </is>
      </c>
      <c r="C62" s="7" t="inlineStr">
        <is>
          <t>JST_XH_B2B-XH-A_1x02_P2.50mm_Vertical</t>
        </is>
      </c>
      <c r="D62" s="7" t="inlineStr">
        <is>
          <t>C158012</t>
        </is>
      </c>
    </row>
    <row r="63" ht="15" customHeight="1" s="5">
      <c r="A63" s="7" t="inlineStr">
        <is>
          <t>STM32G473VET6</t>
        </is>
      </c>
      <c r="B63" s="7" t="inlineStr">
        <is>
          <t>U1</t>
        </is>
      </c>
      <c r="C63" s="7" t="inlineStr">
        <is>
          <t>LQFP-100_14x14mm_P0.5mm</t>
        </is>
      </c>
      <c r="D63" s="7" t="inlineStr">
        <is>
          <t>C730122</t>
        </is>
      </c>
    </row>
    <row r="64" ht="15" customHeight="1" s="5">
      <c r="A64" s="7" t="inlineStr">
        <is>
          <t>USBLC6-2P6</t>
        </is>
      </c>
      <c r="B64" s="7" t="inlineStr">
        <is>
          <t>U2</t>
        </is>
      </c>
      <c r="C64" s="7" t="inlineStr">
        <is>
          <t>SOT-666</t>
        </is>
      </c>
      <c r="D64" s="7" t="inlineStr">
        <is>
          <t>C15999</t>
        </is>
      </c>
    </row>
    <row r="65" ht="15" customHeight="1" s="5">
      <c r="A65" s="7" t="inlineStr">
        <is>
          <t>TPS63802DLAR</t>
        </is>
      </c>
      <c r="B65" s="7" t="inlineStr">
        <is>
          <t>U3</t>
        </is>
      </c>
      <c r="C65" s="7" t="inlineStr">
        <is>
          <t>TI_VSON-HR-10_2x3mm_P0.5mm_DLA0010A</t>
        </is>
      </c>
      <c r="D65" s="7" t="inlineStr">
        <is>
          <t>C2845237</t>
        </is>
      </c>
    </row>
    <row r="66" ht="15" customHeight="1" s="5">
      <c r="A66" s="7" t="inlineStr">
        <is>
          <t>TPS2116DRLR</t>
        </is>
      </c>
      <c r="B66" s="7" t="inlineStr">
        <is>
          <t>U4</t>
        </is>
      </c>
      <c r="C66" s="7" t="inlineStr">
        <is>
          <t>SOT-583-8</t>
        </is>
      </c>
      <c r="D66" s="7" t="inlineStr">
        <is>
          <t>C3235557</t>
        </is>
      </c>
    </row>
    <row r="67" ht="15" customHeight="1" s="5">
      <c r="A67" s="7" t="inlineStr">
        <is>
          <t>MAX-M10S-00B</t>
        </is>
      </c>
      <c r="B67" s="7" t="inlineStr">
        <is>
          <t>U5</t>
        </is>
      </c>
      <c r="C67" s="7" t="inlineStr">
        <is>
          <t>ublox_MAX</t>
        </is>
      </c>
      <c r="D67" s="7" t="inlineStr">
        <is>
          <t>C4153167</t>
        </is>
      </c>
    </row>
    <row r="68" ht="15" customHeight="1" s="5">
      <c r="A68" s="7" t="inlineStr">
        <is>
          <t>BMP581</t>
        </is>
      </c>
      <c r="B68" s="7" t="inlineStr">
        <is>
          <t>U6</t>
        </is>
      </c>
      <c r="C68" s="7" t="inlineStr">
        <is>
          <t>LGA-10_L2.0-W2.0-P0.50-TL_BMP581</t>
        </is>
      </c>
      <c r="D68" s="7" t="inlineStr">
        <is>
          <t>C5362283</t>
        </is>
      </c>
    </row>
    <row r="69" ht="23.85000038146973" customHeight="1" s="5">
      <c r="A69" s="7" t="inlineStr">
        <is>
          <t>BMI088</t>
        </is>
      </c>
      <c r="B69" s="7" t="inlineStr">
        <is>
          <t>U7</t>
        </is>
      </c>
      <c r="C69" s="7" t="inlineStr">
        <is>
          <t>Bosch_LGA-16_4.5x3mm_P0.5mm_LayoutBorder7x1y_ClockwisePinNumbering</t>
        </is>
      </c>
      <c r="D69" s="7" t="inlineStr">
        <is>
          <t>C194919</t>
        </is>
      </c>
    </row>
    <row r="70" ht="15" customHeight="1" s="5">
      <c r="A70" s="7" t="inlineStr">
        <is>
          <t>ADXL345BCCZ-RL7</t>
        </is>
      </c>
      <c r="B70" s="7" t="inlineStr">
        <is>
          <t>U8</t>
        </is>
      </c>
      <c r="C70" s="7" t="inlineStr">
        <is>
          <t>ADI_LGA-14_3x5mm_P0.8mm</t>
        </is>
      </c>
      <c r="D70" s="7" t="inlineStr">
        <is>
          <t>C9667</t>
        </is>
      </c>
    </row>
    <row r="71" ht="15" customHeight="1" s="5">
      <c r="A71" s="7" t="inlineStr">
        <is>
          <t>ADXL375BCCZ-RL7</t>
        </is>
      </c>
      <c r="B71" s="7" t="inlineStr">
        <is>
          <t>U9</t>
        </is>
      </c>
      <c r="C71" s="7" t="inlineStr">
        <is>
          <t>ADI_LGA-14_3x5mm_P0.8mm</t>
        </is>
      </c>
      <c r="D71" s="7" t="inlineStr">
        <is>
          <t>C481898</t>
        </is>
      </c>
    </row>
    <row r="72" ht="15" customHeight="1" s="5">
      <c r="A72" s="7" t="inlineStr">
        <is>
          <t>Ra-01H</t>
        </is>
      </c>
      <c r="B72" s="7" t="inlineStr">
        <is>
          <t>U10</t>
        </is>
      </c>
      <c r="C72" s="7" t="inlineStr">
        <is>
          <t>Ai-Thinker_Ra-01H_SMD-16_17x16mm</t>
        </is>
      </c>
      <c r="D72" s="7" t="inlineStr">
        <is>
          <t>C503593</t>
        </is>
      </c>
    </row>
    <row r="73" ht="15" customHeight="1" s="5">
      <c r="A73" s="7" t="inlineStr">
        <is>
          <t>X322525MOB4SI</t>
        </is>
      </c>
      <c r="B73" s="7" t="inlineStr">
        <is>
          <t>Y1</t>
        </is>
      </c>
      <c r="C73" s="7" t="inlineStr">
        <is>
          <t>Crystal_SMD_3225-4Pin_3.2x2.5mm</t>
        </is>
      </c>
      <c r="D73" s="7" t="inlineStr">
        <is>
          <t>C9006</t>
        </is>
      </c>
    </row>
    <row r="74" ht="15" customHeight="1" s="5">
      <c r="A74" s="7" t="inlineStr">
        <is>
          <t>FC-135 32.7680KA-E</t>
        </is>
      </c>
      <c r="B74" s="7" t="inlineStr">
        <is>
          <t>Y2</t>
        </is>
      </c>
      <c r="C74" s="7" t="inlineStr">
        <is>
          <t>Crystal_SMD_3215-2Pin_3.2x1.5mm</t>
        </is>
      </c>
      <c r="D74" s="7" t="inlineStr">
        <is>
          <t>C20340322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0"/>
  <sheetViews>
    <sheetView showGridLines="1" workbookViewId="0">
      <pane ySplit="1" topLeftCell="A2" activePane="bottomLeft" state="frozen"/>
      <selection activeCell="A1" sqref="A1"/>
    </sheetView>
  </sheetViews>
  <sheetFormatPr baseColWidth="8" defaultColWidth="8.6796875" defaultRowHeight="15"/>
  <cols>
    <col width="40" customWidth="1" style="5" min="1" max="1"/>
    <col width="14" customWidth="1" style="5" min="2" max="2"/>
    <col width="18" customWidth="1" style="5" min="3" max="3"/>
    <col width="34" customWidth="1" style="5" min="4" max="4"/>
    <col width="6" customWidth="1" style="5" min="5" max="5"/>
    <col width="70" customWidth="1" style="5" min="6" max="6"/>
  </cols>
  <sheetData>
    <row r="1" ht="15" customHeight="1" s="5">
      <c r="A1" s="6" t="inlineStr">
        <is>
          <t>Item</t>
        </is>
      </c>
      <c r="B1" s="6" t="inlineStr">
        <is>
          <t>Designator</t>
        </is>
      </c>
      <c r="C1" s="6" t="inlineStr">
        <is>
          <t>LCSC Part</t>
        </is>
      </c>
      <c r="D1" s="6" t="inlineStr">
        <is>
          <t>MPN</t>
        </is>
      </c>
      <c r="E1" s="6" t="inlineStr">
        <is>
          <t>Qty</t>
        </is>
      </c>
      <c r="F1" s="6" t="inlineStr">
        <is>
          <t>Why / how</t>
        </is>
      </c>
    </row>
    <row r="2" ht="15" customHeight="1" s="5">
      <c r="A2" s="7" t="inlineStr">
        <is>
          <t>Drogue screw terminal (bottom side)</t>
        </is>
      </c>
      <c r="B2" s="7" t="inlineStr">
        <is>
          <t>J13</t>
        </is>
      </c>
      <c r="C2" s="7" t="inlineStr">
        <is>
          <t>C8269</t>
        </is>
      </c>
      <c r="D2" s="7" t="inlineStr">
        <is>
          <t>WJ128V-5.0-02P-14-00A</t>
        </is>
      </c>
      <c r="E2" s="7" t="n">
        <v>1</v>
      </c>
      <c r="F2" s="7" t="inlineStr">
        <is>
          <t>Fixed terminal on B.Cu; hand-solder after top-side assembly. No mating plug.</t>
        </is>
      </c>
    </row>
    <row r="3" ht="35.04999923706055" customHeight="1" s="5">
      <c r="A3" s="7" t="inlineStr">
        <is>
          <t>Battery connector (bottom side)</t>
        </is>
      </c>
      <c r="B3" s="7" t="inlineStr">
        <is>
          <t>J2</t>
        </is>
      </c>
      <c r="C3" s="7" t="inlineStr">
        <is>
          <t>C428721</t>
        </is>
      </c>
      <c r="D3" s="7" t="inlineStr">
        <is>
          <t>XT30UPB-M</t>
        </is>
      </c>
      <c r="E3" s="7" t="n">
        <v>1</v>
      </c>
      <c r="F3" s="7" t="inlineStr">
        <is>
          <t>AMASS XT30 vertical male, THT on B.Cu, hand-solder. Pin 1 = +BATT, pin 2 = GND. Check the +/- moulding on the housing against the footprint silk before soldering.</t>
        </is>
      </c>
    </row>
    <row r="4" ht="23.85000038146973" customHeight="1" s="5">
      <c r="A4" s="7" t="inlineStr">
        <is>
          <t>Obsolete terminal plugs — do not purchase</t>
        </is>
      </c>
      <c r="B4" s="7" t="inlineStr">
        <is>
          <t>Former mates for J13, J14</t>
        </is>
      </c>
      <c r="C4" s="7" t="n"/>
      <c r="D4" s="7" t="n"/>
      <c r="E4" s="7" t="n">
        <v>0</v>
      </c>
      <c r="F4" s="7" t="inlineStr">
        <is>
          <t>C8269 is a fixed screw terminal. Separate C63303 plugs are no longer required.</t>
        </is>
      </c>
    </row>
    <row r="5" ht="23.85000038146973" customHeight="1" s="5">
      <c r="A5" s="7" t="inlineStr">
        <is>
          <t>Battery cable connector</t>
        </is>
      </c>
      <c r="B5" s="7" t="inlineStr">
        <is>
          <t>mates J2</t>
        </is>
      </c>
      <c r="C5" s="7" t="n"/>
      <c r="D5" s="7" t="inlineStr">
        <is>
          <t>AMASS XT30U-F (female, on the battery lead)</t>
        </is>
      </c>
      <c r="E5" s="7" t="n">
        <v>1</v>
      </c>
      <c r="F5" s="7" t="inlineStr">
        <is>
          <t>Make the harness to the CamControl battery board. AWG22 for the 3A rating.</t>
        </is>
      </c>
    </row>
    <row r="6" ht="23.85000038146973" customHeight="1" s="5">
      <c r="A6" s="7" t="inlineStr">
        <is>
          <t>GPS patch antenna (NOT in JLC BOM)</t>
        </is>
      </c>
      <c r="B6" s="7" t="inlineStr">
        <is>
          <t>AE1</t>
        </is>
      </c>
      <c r="C6" s="7" t="inlineStr">
        <is>
          <t>Mouser 960-GP1575184A02</t>
        </is>
      </c>
      <c r="D6" s="7" t="inlineStr">
        <is>
          <t>Taoglas GP.1575.18.4.A.02</t>
        </is>
      </c>
      <c r="E6" s="7" t="n">
        <v>1</v>
      </c>
      <c r="F6" s="7" t="inlineStr">
        <is>
          <t>Order from Mouser (214 in stock on 2026-10-05, $4.72). Hand-place: feed pin through the board + adhesive. LCSC C7281913 has 0 stock.</t>
        </is>
      </c>
    </row>
    <row r="7" ht="23.85000038146973" customHeight="1" s="5">
      <c r="A7" s="7" t="inlineStr">
        <is>
          <t>Radio antenna + coax</t>
        </is>
      </c>
      <c r="B7" s="7" t="inlineStr">
        <is>
          <t>J4</t>
        </is>
      </c>
      <c r="C7" s="7" t="n"/>
      <c r="D7" s="7" t="inlineStr">
        <is>
          <t>915MHz SMA antenna, SMA-SMA RG-316 cable</t>
        </is>
      </c>
      <c r="E7" s="7" t="n">
        <v>1</v>
      </c>
      <c r="F7" s="7" t="inlineStr">
        <is>
          <t>Mount the antenna on a bracket away from the board and ground plane. Never transmit with J4 open.</t>
        </is>
      </c>
    </row>
    <row r="8" ht="15" customHeight="1" s="5">
      <c r="A8" s="7" t="inlineStr">
        <is>
          <t>Adafruit AirLift breakout</t>
        </is>
      </c>
      <c r="B8" s="7" t="inlineStr">
        <is>
          <t>U11</t>
        </is>
      </c>
      <c r="C8" s="7" t="inlineStr">
        <is>
          <t>C2897375 (socket)</t>
        </is>
      </c>
      <c r="D8" s="7" t="inlineStr">
        <is>
          <t>Adafruit PID 4201 + PM254-1-12-Z-8.5</t>
        </is>
      </c>
      <c r="E8" s="7" t="n">
        <v>1</v>
      </c>
      <c r="F8" s="7" t="inlineStr">
        <is>
          <t>Optional (U11 is in_bom=no). Socket is THT, can go in JLC THT if wanted.</t>
        </is>
      </c>
    </row>
    <row r="9" ht="15" customHeight="1" s="5">
      <c r="A9" s="7" t="inlineStr">
        <is>
          <t>M4 screws, washers, nuts for TeleMetrum sled</t>
        </is>
      </c>
      <c r="B9" s="7" t="inlineStr">
        <is>
          <t>H3</t>
        </is>
      </c>
      <c r="C9" s="7" t="n"/>
      <c r="D9" s="7" t="inlineStr">
        <is>
          <t>M4x0.7 SHCS x10/x12 (Onshape BOM)</t>
        </is>
      </c>
      <c r="E9" s="7" t="n">
        <v>2</v>
      </c>
      <c r="F9" s="7" t="inlineStr">
        <is>
          <t>Through H3 into the sled nut traps.</t>
        </is>
      </c>
    </row>
    <row r="10" ht="15" customHeight="1" s="5">
      <c r="A10" s="7" t="inlineStr">
        <is>
          <t>3/8-16 threaded rod hardware</t>
        </is>
      </c>
      <c r="B10" s="7" t="inlineStr">
        <is>
          <t>H1, H2</t>
        </is>
      </c>
      <c r="C10" s="7" t="n"/>
      <c r="D10" s="7" t="inlineStr">
        <is>
          <t>Hex nut 3/8-16 + 3/8 washers</t>
        </is>
      </c>
      <c r="E10" s="7" t="n">
        <v>4</v>
      </c>
      <c r="F10" s="7" t="inlineStr">
        <is>
          <t>Clamp the board on the rods. 9.6mm keepout ring on both sides.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50"/>
  <sheetViews>
    <sheetView showGridLines="1" workbookViewId="0">
      <pane ySplit="1" topLeftCell="A2" activePane="bottomLeft" state="frozen"/>
      <selection activeCell="A1" sqref="A1"/>
    </sheetView>
  </sheetViews>
  <sheetFormatPr baseColWidth="8" defaultColWidth="8.6796875" defaultRowHeight="15"/>
  <cols>
    <col width="16" customWidth="1" style="5" min="1" max="1"/>
    <col width="70" customWidth="1" style="5" min="2" max="2"/>
    <col width="80" customWidth="1" style="5" min="3" max="3"/>
  </cols>
  <sheetData>
    <row r="1" ht="15" customHeight="1" s="5">
      <c r="A1" s="6" t="inlineStr">
        <is>
          <t>Area</t>
        </is>
      </c>
      <c r="B1" s="6" t="inlineStr">
        <is>
          <t>Change</t>
        </is>
      </c>
      <c r="C1" s="6" t="inlineStr">
        <is>
          <t>Reason / source</t>
        </is>
      </c>
    </row>
    <row r="2" ht="46.25" customHeight="1" s="5">
      <c r="A2" s="7" t="inlineStr">
        <is>
          <t>1S battery</t>
        </is>
      </c>
      <c r="B2" s="7" t="inlineStr">
        <is>
          <t>Pack is now 1S Li-ion (3.0-4.2V), external on J2 (JST PH, bottom). Removed the LMR51430 buck (old U2, L1, C18, C21, C22, C23, R8, R9) and the AMS1117 USB LDO (old U3, C20). New path: TPS2116 mux U4 with VIN1 = USB VBUS (priority) and VIN2 = +VBAT, output VSYS, then a TPS63802 buck-boost U3 makes +3V3.</t>
        </is>
      </c>
      <c r="C2" s="7" t="inlineStr">
        <is>
          <t>User request (3S -&gt; 1S). A 1S cell sits below 3.3V for most of its discharge (3.7V nominal, 3.0V empty), so a buck or LDO cannot hold 3.3V; a buck-boost can.</t>
        </is>
      </c>
    </row>
    <row r="3" ht="46.25" customHeight="1" s="5">
      <c r="A3" s="7" t="inlineStr">
        <is>
          <t>TPS63802</t>
        </is>
      </c>
      <c r="B3" s="7" t="inlineStr">
        <is>
          <t>U3 TPS63802DLAR (C2845237). L1 0.47uH Coilcraft XFL4015-471MEC (C18221164, Isat 5.4A, 7.6mR). C19 10uF/25V X5R 0805 in, C22 + C23 22uF/25V X5R 0805 out. FB R13 511k / R14 91k -&gt; 3.31V. EN and MODE tied to VIN (always on, forced PWM). PG not used.</t>
        </is>
      </c>
      <c r="C3" s="7" t="inlineStr">
        <is>
          <t>TPS63802 DS (SLVSEU9D) sec. 10.2: Table 10-1 (511k/91k for 3.3V), Table 10-2 (XFL4015-471ME), 10uF CIN, 22uF COUT (effective &gt;= 10uF after DC bias; two 25V 0805 parts give margin).</t>
        </is>
      </c>
    </row>
    <row r="4" ht="35.04999923706055" customHeight="1" s="5">
      <c r="A4" s="7" t="inlineStr">
        <is>
          <t>TPS63802 footprint</t>
        </is>
      </c>
      <c r="B4" s="7" t="inlineStr">
        <is>
          <t>New aerolotl_custom:TI_VSON-HR-10_2x3mm_P0.5mm_DLA0010A. Pads 1-5 0.6x0.25 at x=-0.9; 6,7,9,10 0.9x0.25 at x=+0.75; pin 8 (GND) 1.3x0.25 running under the body; 0.5mm pitch.</t>
        </is>
      </c>
      <c r="C4" s="7" t="inlineStr">
        <is>
          <t>TI DLA0010A example board layout (4223750/D). KiCad has no footprint for this package.</t>
        </is>
      </c>
    </row>
    <row r="5" ht="35.04999923706055" customHeight="1" s="5">
      <c r="A5" s="7" t="inlineStr">
        <is>
          <t>Power mux</t>
        </is>
      </c>
      <c r="B5" s="7" t="inlineStr">
        <is>
          <t>U4 TPS2116: VIN1 = P_VBUS with MODE tied to VIN1 (priority mode), PR1 divider R11 33k / R12 10k -&gt; USB selected when VBUS &gt; 4.3V (VREF 0.92-1.08V -&gt; 3.96-4.64V). VIN2 = +VBAT. VOUT = VSYS, C24 100uF bulk kept.</t>
        </is>
      </c>
      <c r="C5" s="7" t="inlineStr">
        <is>
          <t>TPS2116 DS sec. 7.6.1: priority mode = MODE tied to VIN1 + divider to PR1. USB VBUS minimum 4.75V clears the worst-case threshold.</t>
        </is>
      </c>
    </row>
    <row r="6" ht="57.45000076293945" customHeight="1" s="5">
      <c r="A6" s="7" t="inlineStr">
        <is>
          <t>Net names</t>
        </is>
      </c>
      <c r="B6" s="7" t="inlineStr">
        <is>
          <t>+12V -&gt; +VBAT and +12V_ARM -&gt; +VBAT_ARM (new aerolotl_custom power symbols; old +12V_ARM symbol renamed). TP2 +VBAT, TP7 +VBAT_ARM. Netclass patterns and the In2 zone follow. Removed patterns for nets that no longer exist (+3V3_BAT, USB_3V3, BUCK_SW, VBAT_PACK, BAT_TAP_*). Added VSYS, BB_SW1, BB_SW2 to PWR_LO.</t>
        </is>
      </c>
      <c r="C6" s="7" t="inlineStr">
        <is>
          <t>User request. "VBAT" is the reverse-protected battery rail (after Q1); +BATT is the raw connector side.</t>
        </is>
      </c>
    </row>
    <row r="7" ht="23.85000038146973" customHeight="1" s="5">
      <c r="A7" s="7" t="inlineStr">
        <is>
          <t>PMOS</t>
        </is>
      </c>
      <c r="B7" s="7" t="inlineStr">
        <is>
          <t>Q1 (reverse polarity), Q5 and Q6 (igniter high-side) -&gt; DMP2022LSS-13 (C154919), same SO-8 pinout.</t>
        </is>
      </c>
      <c r="C7" s="7" t="inlineStr">
        <is>
          <t>At 1S the gate sees only -3.0 to -4.2V. DMP2022LSS is specified 22mR at Vgs -2.5V. AO4407A and FDS6673BZ are specified from -4.5V.</t>
        </is>
      </c>
    </row>
    <row r="8" ht="35.04999923706055" customHeight="1" s="5">
      <c r="A8" s="7" t="inlineStr">
        <is>
          <t>D1 TVS</t>
        </is>
      </c>
      <c r="B8" s="7" t="inlineStr">
        <is>
          <t>D1 SMBJ15A -&gt; SMBJ5.0A (C78423).</t>
        </is>
      </c>
      <c r="C8" s="7" t="inlineStr">
        <is>
          <t>Standoff 5.0V clears the 4.2V full charge. CORRECTION: its 6.4-7.07V breakdown is above the 6V abs max of U3/U4, so it is ESD/small-transient protection only, not surge or wrong-pack protection. See open items.</t>
        </is>
      </c>
    </row>
    <row r="9" ht="23.85000038146973" customHeight="1" s="5">
      <c r="A9" s="7" t="inlineStr">
        <is>
          <t>J2 battery connector</t>
        </is>
      </c>
      <c r="B9" s="7" t="inlineStr">
        <is>
          <t>J2 JST PH -&gt; JST XH B2B-XH-A (C158012), 3A per contact with AWG22. Same bottom-side position (moved 0.5mm to clear).</t>
        </is>
      </c>
      <c r="C9" s="7" t="inlineStr">
        <is>
          <t>Battery current budget: avionics ~1.3A at 3.0V plus e-match firing current share J2.</t>
        </is>
      </c>
    </row>
    <row r="10" ht="57.45000076293945" customHeight="1" s="5">
      <c r="A10" s="7" t="inlineStr">
        <is>
          <t>Igniter series R</t>
        </is>
      </c>
      <c r="B10" s="7" t="inlineStr">
        <is>
          <t>R45 + R47 (drogue) and R46 + R48 (main): 2 x 1R Bourns CRM2512-FX-1R00ELF (C840604, 2W, 2512) in series per channel, between the PMOS drain (IGNx_HS, where the continuity/fire sense taps) and the terminal (IGNx_OUT). Nets IGNx_RLIM/IGNx_OUT added to PWR_HI. Terminal blocks moved right on the schematic.</t>
        </is>
      </c>
      <c r="C10" s="7" t="inlineStr">
        <is>
          <t>MJG BP starter: 1.0R, all-fire 0.60A, recommended 0.75-1.0A. Loop ~3.3-3.5R gives ~0.86A at 3.0V, ~0.94A at 3.3V, ~1.27A at 4.2V. Per resistor: 1.6W while the match is intact, 3.4W into a shorted output (1.83A); Bourns pulse curve allows ~6W for 1s, ~27W for 0.1s, so two 1R parts (not one 2R) with a &lt;=1s firmware fire pulse. Sense thresholds unchanged because the sense tap stays on the drain side.</t>
        </is>
      </c>
    </row>
    <row r="11" ht="15" customHeight="1" s="5">
      <c r="A11" s="7" t="inlineStr">
        <is>
          <t>U11 bulk cap</t>
        </is>
      </c>
      <c r="B11" s="7" t="inlineStr">
        <is>
          <t>Added C45 47uF/10V X5R 1206 (C96123) at U11 VIN/GND.</t>
        </is>
      </c>
      <c r="C11" s="7" t="inlineStr">
        <is>
          <t>AirLift VIN allows 3.3-5V but the ESP32 Wi-Fi TX spikes (~0.5A) need local bulk.</t>
        </is>
      </c>
    </row>
    <row r="12" ht="15" customHeight="1" s="5">
      <c r="A12" s="7" t="inlineStr">
        <is>
          <t>Battery sense</t>
        </is>
      </c>
      <c r="B12" s="7" t="inlineStr">
        <is>
          <t>R10 3k3 -&gt; 22k. VOLT_SENSE = VBAT x 22k/32k (4.2V -&gt; 2.89V, 3.0V -&gt; 2.06V).</t>
        </is>
      </c>
      <c r="C12" s="7" t="inlineStr">
        <is>
          <t>Uses most of the 3.3V ADC range for a 1S cell. Firmware scale: VBAT = V_adc x 1.4545.</t>
        </is>
      </c>
    </row>
    <row r="13" ht="23.85000038146973" customHeight="1" s="5">
      <c r="A13" s="7" t="inlineStr">
        <is>
          <t>Igniters</t>
        </is>
      </c>
      <c r="B13" s="7" t="inlineStr">
        <is>
          <t>Gate pull-ups R41/R43 1k -&gt; 10k 1206 (C17902). Fire-sense dividers R53/R54 33k -&gt; 4.7k 0402 (C25900). Notes and the sense text block updated.</t>
        </is>
      </c>
      <c r="C13" s="7" t="inlineStr">
        <is>
          <t>At 4.2V the old 33k/10k divider gave only 1V while firing. 4.7k/10k gives 2.86V. Firmware thresholds: open ~1.0V, e-match present ~0V, firing ~2.9V.</t>
        </is>
      </c>
    </row>
    <row r="14" ht="15" customHeight="1" s="5">
      <c r="A14" s="7" t="inlineStr">
        <is>
          <t>ARM LED</t>
        </is>
      </c>
      <c r="B14" s="7" t="inlineStr">
        <is>
          <t>R26 3k3 -&gt; 330R 0603 (C23138).</t>
        </is>
      </c>
      <c r="C14" s="7" t="inlineStr">
        <is>
          <t>(4.2V - 2.0V) / 330R = 6.7mA, 3mA at 3.0V. 3k3 would leave the LED dark on 1S.</t>
        </is>
      </c>
    </row>
    <row r="15" ht="23.85000038146973" customHeight="1" s="5">
      <c r="A15" s="7" t="inlineStr">
        <is>
          <t>MCU</t>
        </is>
      </c>
      <c r="B15" s="7" t="inlineStr">
        <is>
          <t>U1 -&gt; STM32G473VET6 (C730122). PA4 (pin 26) is now no-connect. The SPARE_ADC1 sheet pin was removed.</t>
        </is>
      </c>
      <c r="C15" s="7" t="inlineStr">
        <is>
          <t>G473 = G474 without HRTIM, which this board does not use. Same die, pinout and LQFP-100. 99 in stock at JLC vs 39 for the G474.</t>
        </is>
      </c>
    </row>
    <row r="16" ht="102.1999969482422" customHeight="1" s="5">
      <c r="A16" s="7" t="inlineStr">
        <is>
          <t>ERC</t>
        </is>
      </c>
      <c r="B16" s="7" t="inlineStr">
        <is>
          <t>Cleared every item in ERC.rpt: SPARE_ADC1 sheet pin and the U1 pin 26 error; refreshed Device:C_Polarized, Device:D and Connector:Conn_01x07_Pin to the KiCad 10.0.6 library copies (C41/C42, D9/D10, J9/J10); unspecified pins -&gt; passive in all custom symbols (AO4407A, FDS6673BZ, RS-3535MWAR, 17-21SUYC, HNB09A03, SMBJ15A, PTC fuse, GX2512, SEA-12095, ADXL375 INT2/NC); U7 BMI088 moved to aerolotl_custom:BMI088 with SDO1/SDO2 as tri-state (it shares SPI1 MISO with the ADXL parts); removed the duplicate IGN0_CONT/IGN1_CONT labels (nets keep IGN0_HS/IGN1_HS); renamed U11 fields "Mfr. " / "Mfr. Part No." to "Module Mfr" / "Module PN".</t>
        </is>
      </c>
      <c r="C16" s="7" t="inlineStr">
        <is>
          <t>ERC.rpt from 2026-10-06 02:16. The BMI088 SDO pins really are tri-state in SPI mode, so the KiCad library pin type was the wrong one.</t>
        </is>
      </c>
    </row>
    <row r="17" ht="46.25" customHeight="1" s="5">
      <c r="A17" s="7" t="inlineStr">
        <is>
          <t>Re-annotation</t>
        </is>
      </c>
      <c r="B17" s="7" t="inlineStr">
        <is>
          <t>Every reference renumbered in sheet page order (MCU, Debugger, Power, Sensors, Indicators, lora, SD, External, Igniter, airlift), then by X then Y on the sheet (KiCad "sort by X"). Power symbols and flags too. The PCB was updated by symbol path, so placement is unchanged. See the "Ref map" sheet.</t>
        </is>
      </c>
      <c r="C17" s="7" t="inlineStr">
        <is>
          <t>User request: numbering had gaps after deleting parts. Re-run after adding the igniter resistors (igniter R45-R56 shifted). Rows below this one use the old numbering.</t>
        </is>
      </c>
    </row>
    <row r="18" ht="46.25" customHeight="1" s="5">
      <c r="A18" s="7" t="inlineStr">
        <is>
          <t>PCB</t>
        </is>
      </c>
      <c r="B18" s="7" t="inlineStr">
        <is>
          <t>Deleted old U2, U3, L1, C18, C20, C21, C22, C23. Placed the TPS63802 block in the old buck area: U3 with L1 on the L1/L2 side, C20 at VIN, C22/C23 at VOUT, FB resistors R13/R14 on the FB side. Every pad net now follows the schematic (my netlist check matches pad-for-pad).</t>
        </is>
      </c>
      <c r="C18" s="7" t="inlineStr">
        <is>
          <t>Board is unrouted. Review placement before routing.</t>
        </is>
      </c>
    </row>
    <row r="19" ht="23.85000038146973" customHeight="1" s="5">
      <c r="A19" s="7" t="inlineStr">
        <is>
          <t>(older rows: old refs)</t>
        </is>
      </c>
      <c r="B19" s="7" t="n"/>
      <c r="C19" s="7" t="n"/>
    </row>
    <row r="20" ht="57.45000076293945" customHeight="1" s="5">
      <c r="A20" s="7" t="inlineStr">
        <is>
          <t>LoRa radio</t>
        </is>
      </c>
      <c r="B20" s="7" t="inlineStr">
        <is>
          <t>Added U12 Ai-Thinker Ra-01H (SX1276, 915MHz) on its own SPI4 bus, J16 vertical SMA (BWSMA-KE-Z001), C45 10u + C46 100n decoupling, R52 10k NSS pull-up, TP11 scope pad on DIO0. J5 SPI4 header removed. NSS=PD1, RESET=PD2 (open-drain), DIO0=PC3 (EXTI3), DIO1=PF10 (EXTI10), DIO3=PC13 (EXTI13), DIO2=PC2 and DIO4=PF2 (polled), DIO5 not connected.</t>
        </is>
      </c>
      <c r="C20" s="7" t="inlineStr">
        <is>
          <t>Telemetry hardware ready for later. Only PC3/PF10/PC13 have free EXTI lines. SDSPI.MOSI bus breakout moved one row on the MCU sheet to make room for PC13.</t>
        </is>
      </c>
    </row>
    <row r="21" ht="15" customHeight="1" s="5">
      <c r="A21" s="7" t="inlineStr">
        <is>
          <t>RGB LED</t>
        </is>
      </c>
      <c r="B21" s="7" t="inlineStr">
        <is>
          <t>R19 270R (C25099), R20 330R, R21 100R (C25076)</t>
        </is>
      </c>
      <c r="C21" s="7" t="inlineStr">
        <is>
          <t>RS-3535MWAR datasheet V-I curve on a 3.3V common anode</t>
        </is>
      </c>
    </row>
    <row r="22" ht="15" customHeight="1" s="5">
      <c r="A22" s="7" t="inlineStr">
        <is>
          <t>AE1</t>
        </is>
      </c>
      <c r="B22" s="7" t="inlineStr">
        <is>
          <t>Excluded from BOM; order from Mouser 960-GP1575184A02</t>
        </is>
      </c>
      <c r="C22" s="7" t="inlineStr">
        <is>
          <t>No LCSC/JLC stock</t>
        </is>
      </c>
    </row>
    <row r="23" ht="35.04999923706055" customHeight="1" s="5">
      <c r="A23" s="7" t="inlineStr">
        <is>
          <t>Board outline</t>
        </is>
      </c>
      <c r="B23" s="7" t="inlineStr">
        <is>
          <t>Outline changed from a 152.4mm circle to the lower (CamControl) PCB outline from Onshape: 145.29mm dia, a 40mm-wide TeleMetrum notch at the bottom (inner edge 14mm in), and two 10mm x 6mm radial wire slots at 130 and 33 deg.</t>
        </is>
      </c>
      <c r="C23" s="7" t="inlineStr">
        <is>
          <t>Onshape AV Bay - Parametric, CamControl battery PCB top face. The coupler inner disc is 147.3mm, so the old 152.4mm board would not fit. Removed the "add cutouts" text from Edge.Cuts.</t>
        </is>
      </c>
    </row>
    <row r="24" ht="35.04999923706055" customHeight="1" s="5">
      <c r="A24" s="7" t="inlineStr">
        <is>
          <t>Threaded rods</t>
        </is>
      </c>
      <c r="B24" s="7" t="inlineStr">
        <is>
          <t>H1/H2 moved to exactly (center +/-60mm, center), symmetric on the horizontal center line. Hole is 10.32mm NPTH, with a 9.6mm-radius courtyard and copper keepout on both sides for the washer and nut.</t>
        </is>
      </c>
      <c r="C24" s="7" t="inlineStr">
        <is>
          <t>Onshape rod holes r=5.159 at x=+/-60. Old holes were M6 (6.4mm), too small for 3/8" rod, and off-center (65.8 / 65.45mm, y +0.25).</t>
        </is>
      </c>
    </row>
    <row r="25" ht="23.85000038146973" customHeight="1" s="5">
      <c r="A25" s="7" t="inlineStr">
        <is>
          <t>TeleMetrum</t>
        </is>
      </c>
      <c r="B25" s="7" t="inlineStr">
        <is>
          <t>Added H3: 2x 4.5mm M4 holes 17.4mm apart, 50mm below center. M4 washer keepout on top, sled-body keepout on the bottom.</t>
        </is>
      </c>
      <c r="C25" s="7" t="inlineStr">
        <is>
          <t>Onshape TeleMetrum sled (3D print) bolt holes r=2.25 at (+/-8.7, -50). The sled stands between this board and the lower PCB.</t>
        </is>
      </c>
    </row>
    <row r="26" ht="23.85000038146973" customHeight="1" s="5">
      <c r="A26" s="7" t="inlineStr">
        <is>
          <t>J10 / J11</t>
        </is>
      </c>
      <c r="B26" s="7" t="inlineStr">
        <is>
          <t>JST GH 7-pin replaced by 2.54mm 1x7 pin headers (PZ254V-11-07P). Moved to the left side next to the other external connectors. GPIO names added on silkscreen.</t>
        </is>
      </c>
      <c r="C26" s="7" t="inlineStr">
        <is>
          <t>Request. The MPN field said SM07B (horizontal) while the footprint was BM07B (vertical), which was also inconsistent.</t>
        </is>
      </c>
    </row>
    <row r="27" ht="46.25" customHeight="1" s="5">
      <c r="A27" s="7" t="inlineStr">
        <is>
          <t>U11 Airlift</t>
        </is>
      </c>
      <c r="B27" s="7" t="inlineStr">
        <is>
          <t>New Ada_Airlift footprint built from the Adafruit Eagle board: 1x12 header with correct pin order, 31.75x33.02mm outline, two M2.5 holes, and a copper keepout under the ESP32 antenna. Placed on the right side, clear of the rod. Updated in both aerolotl_av and aerolotl libraries.</t>
        </is>
      </c>
      <c r="C27" s="7" t="inlineStr">
        <is>
          <t>github.com/adafruit/Adafruit-AirLift-Breakout-PCB. The old footprint had no pads, and the board used a plain 1x12 socket.</t>
        </is>
      </c>
    </row>
    <row r="28" ht="46.25" customHeight="1" s="5">
      <c r="A28" s="7" t="inlineStr">
        <is>
          <t>Igniter terminals</t>
        </is>
      </c>
      <c r="B28" s="7" t="inlineStr">
        <is>
          <t>J15 MAIN (top) and J14 DROGUE (bottom) are now vertical pluggable headers (Kangnex WJ2EDGVM-5.08, screw-flange) with WJ2EDGKM screw plugs, so the wires leave perpendicular to the board. J14 sits next to slot A so drogue wires drop through the lower PCB slot.</t>
        </is>
      </c>
      <c r="C28" s="7" t="inlineStr">
        <is>
          <t>Request: main routes upward, drogue underneath and hand-soldered. JLC has no stock of a one-piece vertical screw terminal.</t>
        </is>
      </c>
    </row>
    <row r="29" ht="35.04999923706055" customHeight="1" s="5">
      <c r="A29" s="7" t="inlineStr">
        <is>
          <t>Battery</t>
        </is>
      </c>
      <c r="B29" s="7" t="inlineStr">
        <is>
          <t>BT1-BT3 18650 holders removed. J3 (was XT30 pin-switch) is now the external battery input: JST PH 2-pin on the bottom (+BATT / GND). Removed the leftover VBAT_PACK label that tied J3 pin 2 to GND.</t>
        </is>
      </c>
      <c r="C29" s="7" t="inlineStr">
        <is>
          <t>Request: batteries are external. Matches your edit that rewired J3 to +BATT/GND.</t>
        </is>
      </c>
    </row>
    <row r="30" ht="46.25" customHeight="1" s="5">
      <c r="A30" s="7" t="inlineStr">
        <is>
          <t>Re-placement</t>
        </is>
      </c>
      <c r="B30" s="7" t="inlineStr">
        <is>
          <t>Moved edge connectors 3.6mm in (J2, J4, J5, J6, J9, J12) and AE1 2.6mm in, both igniter channels up and outward away from the sled washers and notch, indicators and the buzzer into the free right-middle area, SW3, TP3 and TP6, plus small nudges to clear new courtyards. The buck inductor moved for the larger part.</t>
        </is>
      </c>
      <c r="C30" s="7" t="inlineStr">
        <is>
          <t>The new outline, holes and keepouts. The board is unrouted, so nothing was ripped up. Review the placement.</t>
        </is>
      </c>
    </row>
    <row r="31" ht="46.25" customHeight="1" s="5">
      <c r="A31" s="7" t="inlineStr">
        <is>
          <t>MCU</t>
        </is>
      </c>
      <c r="B31" s="7" t="inlineStr">
        <is>
          <t>Every used U1 pin now shows its function (KiCad pin alternates: USART2_TX, SPI1_SCK, ADC1_IN1 and so on). Added GPIO_Output, GPIO_Input and GPIO_EXTIx alternates for plain-GPIO pins to the symbol, both embedded and in the library.</t>
        </is>
      </c>
      <c r="C31" s="7" t="inlineStr">
        <is>
          <t>Request. All 42 AF functions in AV_PINMAP.md exist as G474 alternates, which confirms the pin map.</t>
        </is>
      </c>
    </row>
    <row r="32" ht="15" customHeight="1" s="5">
      <c r="A32" s="7" t="inlineStr">
        <is>
          <t>C9</t>
        </is>
      </c>
      <c r="B32" s="7" t="inlineStr">
        <is>
          <t>100nF -&gt; 10nF (VDDA HF cap)</t>
        </is>
      </c>
      <c r="C32" s="7" t="inlineStr">
        <is>
          <t>STM32G474 DS12288 Fig.16: VDDA 10nF + 1uF</t>
        </is>
      </c>
    </row>
    <row r="33" ht="23.85000038146973" customHeight="1" s="5">
      <c r="A33" s="7" t="inlineStr">
        <is>
          <t>Y2, C16, C17</t>
        </is>
      </c>
      <c r="B33" s="7" t="inlineStr">
        <is>
          <t>LSE crystal Epson FC-135 32.7680KA-E (6pF, 70k). Load caps 15pF -&gt; 4.7pF C0G.</t>
        </is>
      </c>
      <c r="C33" s="7" t="inlineStr">
        <is>
          <t>15pF caps on a 6-12.5pF crystal pull the frequency. A 6pF crystal keeps gm_crit at about 0.6uA/V, under the 1.7uA/V of LSEDRV medium-high.</t>
        </is>
      </c>
    </row>
    <row r="34" ht="15" customHeight="1" s="5">
      <c r="A34" s="7" t="inlineStr">
        <is>
          <t>C19</t>
        </is>
      </c>
      <c r="B34" s="7" t="inlineStr">
        <is>
          <t>22uF -&gt; 10uF on VBUS</t>
        </is>
      </c>
      <c r="C34" s="7" t="inlineStr">
        <is>
          <t>USB 2.0 limits capacitance on VBUS at attach to 10uF</t>
        </is>
      </c>
    </row>
    <row r="35" ht="23.85000038146973" customHeight="1" s="5">
      <c r="A35" s="7" t="inlineStr">
        <is>
          <t>C20</t>
        </is>
      </c>
      <c r="B35" s="7" t="inlineStr">
        <is>
          <t>22uF MLCC -&gt; 22uF/16V tantalum (2.3R ESR), case B</t>
        </is>
      </c>
      <c r="C35" s="7" t="inlineStr">
        <is>
          <t>AMS1117 datasheet: 22uF solid tantalum on the output for stability. A low-ESR MLCC alone can oscillate.</t>
        </is>
      </c>
    </row>
    <row r="36" ht="15" customHeight="1" s="5">
      <c r="A36" s="7" t="inlineStr">
        <is>
          <t>C21</t>
        </is>
      </c>
      <c r="B36" s="7" t="inlineStr">
        <is>
          <t>4.7uF 0805 -&gt; 10uF/50V X7R 1206</t>
        </is>
      </c>
      <c r="C36" s="7" t="inlineStr">
        <is>
          <t>LMR51430 DS 9.2.2.6: CIN &gt;= 4.7uF, rated about 2x VIN max (12.6V)</t>
        </is>
      </c>
    </row>
    <row r="37" ht="23.85000038146973" customHeight="1" s="5">
      <c r="A37" s="7" t="inlineStr">
        <is>
          <t>L1</t>
        </is>
      </c>
      <c r="B37" s="7" t="inlineStr">
        <is>
          <t>4.7uH 4030 (Isat ~2A) -&gt; 5.6uH FXL0630 (Isat 5.5A, 42mR)</t>
        </is>
      </c>
      <c r="C37" s="7" t="inlineStr">
        <is>
          <t>LMR51430 Table 9-1 (500kHz, 3.3V) calls for 5.6uH, and Isat must exceed the 4.76A typ HS current limit</t>
        </is>
      </c>
    </row>
    <row r="38" ht="15" customHeight="1" s="5">
      <c r="A38" s="7" t="inlineStr">
        <is>
          <t>C30, C34</t>
        </is>
      </c>
      <c r="B38" s="7" t="inlineStr">
        <is>
          <t>1uF 0402 MLCC -&gt; 1uF/10V tantalum (case R)</t>
        </is>
      </c>
      <c r="C38" s="7" t="inlineStr">
        <is>
          <t>ADXL345 / ADXL375 datasheets: 1uF tantalum at VS, 0.1uF ceramic at VDD I/O</t>
        </is>
      </c>
    </row>
    <row r="39" ht="23.85000038146973" customHeight="1" s="5">
      <c r="A39" s="7" t="inlineStr">
        <is>
          <t>U7, U9</t>
        </is>
      </c>
      <c r="B39" s="7" t="inlineStr">
        <is>
          <t>Both now use ADI_LGA-14_3x5mm_P0.8mm (ADI recommended land pattern). Pin orientation is preserved.</t>
        </is>
      </c>
      <c r="C39" s="7" t="inlineStr">
        <is>
          <t>ADXL345 DS Fig.59. The two old footprints for the same package disagreed, and the ADXL375 one had 1.77mm hand-solder pads.</t>
        </is>
      </c>
    </row>
    <row r="40" ht="15" customHeight="1" s="5">
      <c r="A40" s="7" t="inlineStr">
        <is>
          <t>U2</t>
        </is>
      </c>
      <c r="B40" s="7" t="inlineStr">
        <is>
          <t>Footprint SOT-23-6 -&gt; TSOT-23-6</t>
        </is>
      </c>
      <c r="C40" s="7" t="inlineStr">
        <is>
          <t>LMR51430XFDDCR is the DDC (thin SOT) package. The pads are identical.</t>
        </is>
      </c>
    </row>
    <row r="41" ht="15" customHeight="1" s="5">
      <c r="A41" s="7" t="inlineStr">
        <is>
          <t>R12</t>
        </is>
      </c>
      <c r="B41" s="7" t="inlineStr">
        <is>
          <t>5k -&gt; 4.99k</t>
        </is>
      </c>
      <c r="C41" s="7" t="inlineStr">
        <is>
          <t>5k is not a stocked 1% value. PR1 threshold 1.134V vs 1.136V.</t>
        </is>
      </c>
    </row>
    <row r="42" ht="15" customHeight="1" s="5">
      <c r="A42" s="7" t="inlineStr">
        <is>
          <t>AE1</t>
        </is>
      </c>
      <c r="B42" s="7" t="inlineStr">
        <is>
          <t>Footprint field had no library nickname (it would fail to resolve)</t>
        </is>
      </c>
      <c r="C42" s="7" t="inlineStr">
        <is>
          <t>Fixed to aerolotl_custom:ANT_GP.1575.18.4.A.02_TAL</t>
        </is>
      </c>
    </row>
    <row r="43" ht="15" customHeight="1" s="5">
      <c r="A43" s="7" t="inlineStr">
        <is>
          <t>Test points</t>
        </is>
      </c>
      <c r="B43" s="7" t="inlineStr">
        <is>
          <t>TP1-TP10 excluded from BOM</t>
        </is>
      </c>
      <c r="C43" s="7" t="inlineStr">
        <is>
          <t>Plated holes with no part to buy</t>
        </is>
      </c>
    </row>
    <row r="44" ht="35.04999923706055" customHeight="1" s="5">
      <c r="A44" s="7" t="inlineStr">
        <is>
          <t>All parts</t>
        </is>
      </c>
      <c r="B44" s="7" t="inlineStr">
        <is>
          <t>LCSC Part, MPN, Manufacturer, Voltage, Dielectric, Tolerance, ESR/DCR and Power fields filled on every symbol (and mirrored into the PCB). The duplicate "LCSC" field was merged into "LCSC Part".</t>
        </is>
      </c>
      <c r="C44" s="7" t="inlineStr">
        <is>
          <t>LCSC/JLC part data checked 2026-10-02</t>
        </is>
      </c>
    </row>
    <row r="45" ht="23.85000038146973" customHeight="1" s="5">
      <c r="A45" s="7" t="inlineStr">
        <is>
          <t>D9</t>
        </is>
      </c>
      <c r="B45" s="7" t="inlineStr">
        <is>
          <t>Removed an orphan duplicate D9 footprint (no schematic link). The linked D9 now sits in its place.</t>
        </is>
      </c>
      <c r="C45" s="7" t="inlineStr">
        <is>
          <t>PCB vs schematic sync</t>
        </is>
      </c>
    </row>
    <row r="46">
      <c r="A46" s="7" t="inlineStr">
        <is>
          <t>J2</t>
        </is>
      </c>
      <c r="B46" s="7" t="inlineStr">
        <is>
          <t>JST XH B2B-XH-A (C158012) -&gt; AMASS XT30UPB-M (C428721), KiCad Connector_AMASS footprint + model. Same position, bottom side; pad 1 stays put.</t>
        </is>
      </c>
      <c r="C46" s="7" t="inlineStr">
        <is>
          <t>Higher current, polarized battery connector</t>
        </is>
      </c>
    </row>
    <row r="47">
      <c r="A47" s="7" t="inlineStr">
        <is>
          <t>J13, J14</t>
        </is>
      </c>
      <c r="B47" s="7" t="inlineStr">
        <is>
          <t>PCB footprint now TerminalBlock_Kangnex_WJ128V-5.0-2P_C8269 (5.00mm pitch, fixed screw terminal) with its LCSC 3D mesh. Courtyard tightened to body + 0.5mm.</t>
        </is>
      </c>
      <c r="C47" s="7" t="inlineStr">
        <is>
          <t>Schematic already specified C8269; PCB was still on the pluggable WJ2EDGVM</t>
        </is>
      </c>
    </row>
    <row r="48">
      <c r="A48" s="7" t="inlineStr">
        <is>
          <t>H1, H2</t>
        </is>
      </c>
      <c r="B48" s="7" t="inlineStr">
        <is>
          <t>New footprint MountingHole_3-8in_Grommet_Heyco_G1123_D14.3mm: 14.3mm NPTH, keepout/courtyard 20.1mm dia (19.1mm flange + 0.5mm).</t>
        </is>
      </c>
      <c r="C48" s="7" t="inlineStr">
        <is>
          <t>Heyco G1123 / RG562-14-2 grommet on the 3/8in rods</t>
        </is>
      </c>
    </row>
    <row r="49">
      <c r="A49" s="7" t="inlineStr">
        <is>
          <t>Q1, Q5, Q6, D1, D3-D6, F1, F2, Y1</t>
        </is>
      </c>
      <c r="B49" s="7" t="inlineStr">
        <is>
          <t>Custom EasyEDA footprints/models -&gt; KiCad library (SOIC-8_3.9x4.9mm_P1.27mm, D_SMB, LED_0805_2012Metric, Fuse_1812_4532Metric, Crystal_SMD_3225-4Pin_3.2x2.5mm). LCSC/MPN unchanged.</t>
        </is>
      </c>
      <c r="C49" s="7" t="inlineStr">
        <is>
          <t>Use stock KiCad footprints + 3D models</t>
        </is>
      </c>
    </row>
    <row r="50">
      <c r="A50" s="7" t="inlineStr">
        <is>
          <t>D3-D6 symbol</t>
        </is>
      </c>
      <c r="B50" s="7" t="inlineStr">
        <is>
          <t>17-21SUYC_TR8 pin numbers swapped (K = pin 1, A = pin 2) to match the KiCad LED footprint convention. Wiring and nets unchanged.</t>
        </is>
      </c>
      <c r="C50" s="7" t="inlineStr">
        <is>
          <t>KiCad LED_0805 pad 1 is the cathode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3"/>
  <sheetViews>
    <sheetView showGridLines="1" workbookViewId="0">
      <pane ySplit="1" topLeftCell="A2" activePane="bottomLeft" state="frozen"/>
      <selection activeCell="A1" sqref="A1"/>
    </sheetView>
  </sheetViews>
  <sheetFormatPr baseColWidth="8" defaultColWidth="8.6796875" defaultRowHeight="15"/>
  <cols>
    <col width="5" customWidth="1" style="5" min="1" max="1"/>
    <col width="70" customWidth="1" style="5" min="2" max="3"/>
  </cols>
  <sheetData>
    <row r="1" ht="15" customHeight="1" s="5">
      <c r="A1" s="6" t="inlineStr">
        <is>
          <t>#</t>
        </is>
      </c>
      <c r="B1" s="6" t="inlineStr">
        <is>
          <t>Item</t>
        </is>
      </c>
      <c r="C1" s="6" t="inlineStr">
        <is>
          <t>Suggested action</t>
        </is>
      </c>
    </row>
    <row r="2" ht="35.04999923706055" customHeight="1" s="5">
      <c r="A2" s="7" t="n">
        <v>1</v>
      </c>
      <c r="B2" s="7" t="inlineStr">
        <is>
          <t>Open KiCad, run Tools &gt; Update PCB from Schematic (F8), then ERC and DRC. I could not run KiCad from here. My own netlist and ERC-style checks are clean.</t>
        </is>
      </c>
      <c r="C2" s="7" t="inlineStr">
        <is>
          <t>F8 should show only net renames (KiCad names some nets differently from my sync). Re-pour zones. The In2 split (+VBAT right, +3V3 rest) was drawn for the old layout, so redraw it.</t>
        </is>
      </c>
    </row>
    <row r="3" ht="23.85000038146973" customHeight="1" s="5">
      <c r="A3" s="7" t="n">
        <v>2</v>
      </c>
      <c r="B3" s="7" t="inlineStr">
        <is>
          <t>1S ONLY on J2. Everything after Q1 is rated about 5.5-6V (TPS2116, TPS63802, SMBJ5.0A clamps at 9.2V).</t>
        </is>
      </c>
      <c r="C3" s="7" t="inlineStr">
        <is>
          <t>Consider a "1S Li-ion ONLY" silkscreen next to J2 and a keyed harness.</t>
        </is>
      </c>
    </row>
    <row r="4" ht="35.04999923706055" customHeight="1" s="5">
      <c r="A4" s="7" t="n">
        <v>3</v>
      </c>
      <c r="B4" s="7" t="inlineStr">
        <is>
          <t>TPS63802 layout (TI DS sec. 12)</t>
        </is>
      </c>
      <c r="C4" s="7" t="inlineStr">
        <is>
          <t>Keep the CIN-VIN-GND and COUT-VOUT-GND loops tight on the top layer, short wide L1/L2 traces, GND pin 8 straight into the In1 plane with several vias, FB trace away from L1.</t>
        </is>
      </c>
    </row>
    <row r="5" ht="23.85000038146973" customHeight="1" s="5">
      <c r="A5" s="7" t="n">
        <v>4</v>
      </c>
      <c r="B5" s="7" t="inlineStr">
        <is>
          <t>Firmware constants changed</t>
        </is>
      </c>
      <c r="C5" s="7" t="inlineStr">
        <is>
          <t>VOLT_SENSE x 1.4545 = VBAT. Igniter sense: open ~1.0V, e-match ~0V, firing ~2.9V. Low-battery cutoff around 3.3-3.4V at the cell.</t>
        </is>
      </c>
    </row>
    <row r="6" ht="35.04999923706055" customHeight="1" s="5">
      <c r="A6" s="7" t="n">
        <v>5</v>
      </c>
      <c r="B6" s="7" t="inlineStr">
        <is>
          <t>E-match: MJG BP Rocket Starter, 1.0 +/-0.2 ohm, no-fire 0.30A, all-fire 0.60A, recommended min 0.75A, nominal 1.0A, max test 40mA (electricmatch.com). 0.5A is BELOW the all-fire current.</t>
        </is>
      </c>
      <c r="C6" s="7" t="inlineStr">
        <is>
          <t>Design and test for &gt;= 0.75A at the lowest cell voltage, coldest temperature and longest leads. Continuity bias is ~0.26mA, well under the 40mA test limit.</t>
        </is>
      </c>
    </row>
    <row r="7" ht="57.45000076293945" customHeight="1" s="5">
      <c r="A7" s="7" t="n">
        <v>6</v>
      </c>
      <c r="B7" s="7" t="inlineStr">
        <is>
          <t>Firing current is now set by R45+R47 / R46+R48 (2R per channel): ~0.86A at 3.0V to ~1.27A at 4.2V with a 1.0R match and ~0.3R of wiring/PTC/FET/cell.</t>
        </is>
      </c>
      <c r="C7" s="7" t="inlineStr">
        <is>
          <t>Firmware: fire pulse &lt;= 1s (resistor pulse rating). Measure the real loop resistance with the actual leads (3 ft leads add resistance); at a 3.0V cutoff it must stay under ~0.5R for &gt;= 0.75A. J2 peak ~1.3A avionics + ~1.3A firing = ~2.6A, inside the XH 3A rating; the 1812L150 PTC (1.5A hold) no longer trips on a normal fire but does on a shorted output.</t>
        </is>
      </c>
    </row>
    <row r="8" ht="35.04999923706055" customHeight="1" s="5">
      <c r="A8" s="7" t="n">
        <v>7</v>
      </c>
      <c r="B8" s="7" t="inlineStr">
        <is>
          <t>Wrong-pack / surge protection is not solved by D1.</t>
        </is>
      </c>
      <c r="C8" s="7" t="inlineStr">
        <is>
          <t>Add an OVP switch after Q1 (TPS25947 eFuse or LTC4365 + 2 N-FETs), put the TVS on its input sized to its abs max, add a gate-source zener on Q1, and a bulk electrolytic at J2 to damp hot-plug ringing.</t>
        </is>
      </c>
    </row>
    <row r="9" ht="23.85000038146973" customHeight="1" s="5">
      <c r="A9" s="7" t="n">
        <v>8</v>
      </c>
      <c r="B9" s="7" t="inlineStr">
        <is>
          <t>BZ1 HNB09A03 is an active buzzer (it has its own oscillator). The MCU net is BUZZER_PWM on TIM1_CH1.</t>
        </is>
      </c>
      <c r="C9" s="7" t="inlineStr">
        <is>
          <t>Drive it on/off. It is a 3V part, so 3V3 is fine.</t>
        </is>
      </c>
    </row>
    <row r="10" ht="23.85000038146973" customHeight="1" s="5">
      <c r="A10" s="7" t="n">
        <v>9</v>
      </c>
      <c r="B10" s="7" t="inlineStr">
        <is>
          <t>U1 STM32G473VET6: 99 at JLC. DMP2022LSS-13: 651 at JLC (3 per board). ADXL375: low stock.</t>
        </is>
      </c>
      <c r="C10" s="7" t="inlineStr">
        <is>
          <t>Reserve parts on JLC before you submit.</t>
        </is>
      </c>
    </row>
    <row r="11" ht="15" customHeight="1" s="5">
      <c r="A11" s="7" t="n">
        <v>10</v>
      </c>
      <c r="B11" s="7" t="inlineStr">
        <is>
          <t>AE1 Taoglas GP.1575.18.4.A.02 is not in the JLC BOM.</t>
        </is>
      </c>
      <c r="C11" s="7" t="inlineStr">
        <is>
          <t>Order from Mouser (960-GP1575184A02) and hand-place.</t>
        </is>
      </c>
    </row>
    <row r="12" ht="23.85000038146973" customHeight="1" s="5">
      <c r="A12" s="7" t="n">
        <v>11</v>
      </c>
      <c r="B12" s="7" t="inlineStr">
        <is>
          <t>LoRa RF trace U10 pin 1 -&gt; J4 is about 6.7mm.</t>
        </is>
      </c>
      <c r="C12" s="7" t="inlineStr">
        <is>
          <t>Route it as 50R grounded coplanar waveguide over the In1 GND plane with via fencing. Keep other traces out from under the module.</t>
        </is>
      </c>
    </row>
    <row r="13" ht="35.04999923706055" customHeight="1" s="5">
      <c r="A13" s="7" t="n">
        <v>12</v>
      </c>
      <c r="B13" s="7" t="inlineStr">
        <is>
          <t>Standard-library footprints I added (L_Coilcraft_XxL4020 for the new L1, PinHeader_1x07, JST_PH_B2B, CP_EIA tantalum) came from an older copy of the KiCad library.</t>
        </is>
      </c>
      <c r="C13" s="7" t="inlineStr">
        <is>
          <t>In KiCad: Tools &gt; Update Footprints from Library on those refs.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79"/>
  <sheetViews>
    <sheetView showGridLines="1" workbookViewId="0">
      <pane ySplit="1" topLeftCell="A2" activePane="bottomLeft" state="frozen"/>
      <selection activeCell="A1" sqref="A1"/>
    </sheetView>
  </sheetViews>
  <sheetFormatPr baseColWidth="8" defaultColWidth="8.6796875" defaultRowHeight="15"/>
  <cols>
    <col width="12" customWidth="1" style="5" min="1" max="1"/>
    <col width="10" customWidth="1" style="5" min="2" max="2"/>
    <col width="40" customWidth="1" style="5" min="3" max="3"/>
  </cols>
  <sheetData>
    <row r="1" ht="15" customHeight="1" s="5">
      <c r="A1" s="6" t="inlineStr">
        <is>
          <t>Old ref</t>
        </is>
      </c>
      <c r="B1" s="6" t="inlineStr">
        <is>
          <t>New ref</t>
        </is>
      </c>
      <c r="C1" s="6" t="inlineStr">
        <is>
          <t>Sheet</t>
        </is>
      </c>
    </row>
    <row r="2" ht="15" customHeight="1" s="5">
      <c r="A2" s="7" t="inlineStr">
        <is>
          <t>(new part)</t>
        </is>
      </c>
      <c r="B2" s="7" t="inlineStr">
        <is>
          <t>C45</t>
        </is>
      </c>
      <c r="C2" s="7" t="inlineStr">
        <is>
          <t>airlift</t>
        </is>
      </c>
    </row>
    <row r="3" ht="15" customHeight="1" s="5">
      <c r="A3" s="7" t="inlineStr">
        <is>
          <t>U11</t>
        </is>
      </c>
      <c r="B3" s="7" t="inlineStr">
        <is>
          <t>U11</t>
        </is>
      </c>
      <c r="C3" s="7" t="inlineStr">
        <is>
          <t>airlift</t>
        </is>
      </c>
    </row>
    <row r="4" ht="15" customHeight="1" s="5">
      <c r="A4" s="7" t="inlineStr">
        <is>
          <t>C45</t>
        </is>
      </c>
      <c r="B4" s="7" t="inlineStr">
        <is>
          <t>C37</t>
        </is>
      </c>
      <c r="C4" s="7" t="inlineStr">
        <is>
          <t>lora</t>
        </is>
      </c>
    </row>
    <row r="5" ht="15" customHeight="1" s="5">
      <c r="A5" s="7" t="inlineStr">
        <is>
          <t>C46</t>
        </is>
      </c>
      <c r="B5" s="7" t="inlineStr">
        <is>
          <t>C38</t>
        </is>
      </c>
      <c r="C5" s="7" t="inlineStr">
        <is>
          <t>lora</t>
        </is>
      </c>
    </row>
    <row r="6" ht="15" customHeight="1" s="5">
      <c r="A6" s="7" t="inlineStr">
        <is>
          <t>J16</t>
        </is>
      </c>
      <c r="B6" s="7" t="inlineStr">
        <is>
          <t>J4</t>
        </is>
      </c>
      <c r="C6" s="7" t="inlineStr">
        <is>
          <t>lora</t>
        </is>
      </c>
    </row>
    <row r="7" ht="15" customHeight="1" s="5">
      <c r="A7" s="7" t="inlineStr">
        <is>
          <t>R52</t>
        </is>
      </c>
      <c r="B7" s="7" t="inlineStr">
        <is>
          <t>R27</t>
        </is>
      </c>
      <c r="C7" s="7" t="inlineStr">
        <is>
          <t>lora</t>
        </is>
      </c>
    </row>
    <row r="8" ht="15" customHeight="1" s="5">
      <c r="A8" s="7" t="inlineStr">
        <is>
          <t>TP11</t>
        </is>
      </c>
      <c r="B8" s="7" t="inlineStr">
        <is>
          <t>TP6</t>
        </is>
      </c>
      <c r="C8" s="7" t="inlineStr">
        <is>
          <t>lora</t>
        </is>
      </c>
    </row>
    <row r="9" ht="15" customHeight="1" s="5">
      <c r="A9" s="7" t="inlineStr">
        <is>
          <t>U12</t>
        </is>
      </c>
      <c r="B9" s="7" t="inlineStr">
        <is>
          <t>U10</t>
        </is>
      </c>
      <c r="C9" s="7" t="inlineStr">
        <is>
          <t>lora</t>
        </is>
      </c>
    </row>
    <row r="10" ht="15" customHeight="1" s="5">
      <c r="A10" s="7" t="inlineStr">
        <is>
          <t>J7</t>
        </is>
      </c>
      <c r="B10" s="7" t="inlineStr">
        <is>
          <t>J6</t>
        </is>
      </c>
      <c r="C10" s="7" t="inlineStr">
        <is>
          <t>external</t>
        </is>
      </c>
    </row>
    <row r="11" ht="15" customHeight="1" s="5">
      <c r="A11" s="7" t="inlineStr">
        <is>
          <t>J9</t>
        </is>
      </c>
      <c r="B11" s="7" t="inlineStr">
        <is>
          <t>J7</t>
        </is>
      </c>
      <c r="C11" s="7" t="inlineStr">
        <is>
          <t>external</t>
        </is>
      </c>
    </row>
    <row r="12" ht="15" customHeight="1" s="5">
      <c r="A12" s="7" t="inlineStr">
        <is>
          <t>J8</t>
        </is>
      </c>
      <c r="B12" s="7" t="inlineStr">
        <is>
          <t>J8</t>
        </is>
      </c>
      <c r="C12" s="7" t="inlineStr">
        <is>
          <t>external</t>
        </is>
      </c>
    </row>
    <row r="13" ht="15" customHeight="1" s="5">
      <c r="A13" s="7" t="inlineStr">
        <is>
          <t>J10</t>
        </is>
      </c>
      <c r="B13" s="7" t="inlineStr">
        <is>
          <t>J9</t>
        </is>
      </c>
      <c r="C13" s="7" t="inlineStr">
        <is>
          <t>external</t>
        </is>
      </c>
    </row>
    <row r="14" ht="15" customHeight="1" s="5">
      <c r="A14" s="7" t="inlineStr">
        <is>
          <t>J11</t>
        </is>
      </c>
      <c r="B14" s="7" t="inlineStr">
        <is>
          <t>J10</t>
        </is>
      </c>
      <c r="C14" s="7" t="inlineStr">
        <is>
          <t>external</t>
        </is>
      </c>
    </row>
    <row r="15" ht="15" customHeight="1" s="5">
      <c r="A15" s="7" t="inlineStr">
        <is>
          <t>J6</t>
        </is>
      </c>
      <c r="B15" s="7" t="inlineStr">
        <is>
          <t>J11</t>
        </is>
      </c>
      <c r="C15" s="7" t="inlineStr">
        <is>
          <t>external</t>
        </is>
      </c>
    </row>
    <row r="16" ht="15" customHeight="1" s="5">
      <c r="A16" s="7" t="inlineStr">
        <is>
          <t>J12</t>
        </is>
      </c>
      <c r="B16" s="7" t="inlineStr">
        <is>
          <t>J12</t>
        </is>
      </c>
      <c r="C16" s="7" t="inlineStr">
        <is>
          <t>external</t>
        </is>
      </c>
    </row>
    <row r="17" ht="15" customHeight="1" s="5">
      <c r="A17" s="7" t="inlineStr">
        <is>
          <t>C39</t>
        </is>
      </c>
      <c r="B17" s="7" t="inlineStr">
        <is>
          <t>C39</t>
        </is>
      </c>
      <c r="C17" s="7" t="inlineStr">
        <is>
          <t>igniter</t>
        </is>
      </c>
    </row>
    <row r="18" ht="15" customHeight="1" s="5">
      <c r="A18" s="7" t="inlineStr">
        <is>
          <t>C42</t>
        </is>
      </c>
      <c r="B18" s="7" t="inlineStr">
        <is>
          <t>C40</t>
        </is>
      </c>
      <c r="C18" s="7" t="inlineStr">
        <is>
          <t>igniter</t>
        </is>
      </c>
    </row>
    <row r="19" ht="15" customHeight="1" s="5">
      <c r="A19" s="7" t="inlineStr">
        <is>
          <t>C40</t>
        </is>
      </c>
      <c r="B19" s="7" t="inlineStr">
        <is>
          <t>C41</t>
        </is>
      </c>
      <c r="C19" s="7" t="inlineStr">
        <is>
          <t>igniter</t>
        </is>
      </c>
    </row>
    <row r="20" ht="15" customHeight="1" s="5">
      <c r="A20" s="7" t="inlineStr">
        <is>
          <t>C43</t>
        </is>
      </c>
      <c r="B20" s="7" t="inlineStr">
        <is>
          <t>C42</t>
        </is>
      </c>
      <c r="C20" s="7" t="inlineStr">
        <is>
          <t>igniter</t>
        </is>
      </c>
    </row>
    <row r="21" ht="15" customHeight="1" s="5">
      <c r="A21" s="7" t="inlineStr">
        <is>
          <t>C41</t>
        </is>
      </c>
      <c r="B21" s="7" t="inlineStr">
        <is>
          <t>C43</t>
        </is>
      </c>
      <c r="C21" s="7" t="inlineStr">
        <is>
          <t>igniter</t>
        </is>
      </c>
    </row>
    <row r="22" ht="15" customHeight="1" s="5">
      <c r="A22" s="7" t="inlineStr">
        <is>
          <t>C44</t>
        </is>
      </c>
      <c r="B22" s="7" t="inlineStr">
        <is>
          <t>C44</t>
        </is>
      </c>
      <c r="C22" s="7" t="inlineStr">
        <is>
          <t>igniter</t>
        </is>
      </c>
    </row>
    <row r="23" ht="15" customHeight="1" s="5">
      <c r="A23" s="7" t="inlineStr">
        <is>
          <t>D7</t>
        </is>
      </c>
      <c r="B23" s="7" t="inlineStr">
        <is>
          <t>D7</t>
        </is>
      </c>
      <c r="C23" s="7" t="inlineStr">
        <is>
          <t>igniter</t>
        </is>
      </c>
    </row>
    <row r="24" ht="15" customHeight="1" s="5">
      <c r="A24" s="7" t="inlineStr">
        <is>
          <t>D10</t>
        </is>
      </c>
      <c r="B24" s="7" t="inlineStr">
        <is>
          <t>D8</t>
        </is>
      </c>
      <c r="C24" s="7" t="inlineStr">
        <is>
          <t>igniter</t>
        </is>
      </c>
    </row>
    <row r="25" ht="15" customHeight="1" s="5">
      <c r="A25" s="7" t="inlineStr">
        <is>
          <t>D8</t>
        </is>
      </c>
      <c r="B25" s="7" t="inlineStr">
        <is>
          <t>D9</t>
        </is>
      </c>
      <c r="C25" s="7" t="inlineStr">
        <is>
          <t>igniter</t>
        </is>
      </c>
    </row>
    <row r="26" ht="15" customHeight="1" s="5">
      <c r="A26" s="7" t="inlineStr">
        <is>
          <t>D9</t>
        </is>
      </c>
      <c r="B26" s="7" t="inlineStr">
        <is>
          <t>D10</t>
        </is>
      </c>
      <c r="C26" s="7" t="inlineStr">
        <is>
          <t>igniter</t>
        </is>
      </c>
    </row>
    <row r="27" ht="15" customHeight="1" s="5">
      <c r="A27" s="7" t="inlineStr">
        <is>
          <t>F1</t>
        </is>
      </c>
      <c r="B27" s="7" t="inlineStr">
        <is>
          <t>F1</t>
        </is>
      </c>
      <c r="C27" s="7" t="inlineStr">
        <is>
          <t>igniter</t>
        </is>
      </c>
    </row>
    <row r="28" ht="15" customHeight="1" s="5">
      <c r="A28" s="7" t="inlineStr">
        <is>
          <t>F2</t>
        </is>
      </c>
      <c r="B28" s="7" t="inlineStr">
        <is>
          <t>F2</t>
        </is>
      </c>
      <c r="C28" s="7" t="inlineStr">
        <is>
          <t>igniter</t>
        </is>
      </c>
    </row>
    <row r="29" ht="15" customHeight="1" s="5">
      <c r="A29" s="7" t="inlineStr">
        <is>
          <t>J14</t>
        </is>
      </c>
      <c r="B29" s="7" t="inlineStr">
        <is>
          <t>J13</t>
        </is>
      </c>
      <c r="C29" s="7" t="inlineStr">
        <is>
          <t>igniter</t>
        </is>
      </c>
    </row>
    <row r="30" ht="15" customHeight="1" s="5">
      <c r="A30" s="7" t="inlineStr">
        <is>
          <t>J15</t>
        </is>
      </c>
      <c r="B30" s="7" t="inlineStr">
        <is>
          <t>J14</t>
        </is>
      </c>
      <c r="C30" s="7" t="inlineStr">
        <is>
          <t>igniter</t>
        </is>
      </c>
    </row>
    <row r="31" ht="15" customHeight="1" s="5">
      <c r="A31" s="7" t="inlineStr">
        <is>
          <t>Q4</t>
        </is>
      </c>
      <c r="B31" s="7" t="inlineStr">
        <is>
          <t>Q3</t>
        </is>
      </c>
      <c r="C31" s="7" t="inlineStr">
        <is>
          <t>igniter</t>
        </is>
      </c>
    </row>
    <row r="32" ht="15" customHeight="1" s="5">
      <c r="A32" s="7" t="inlineStr">
        <is>
          <t>Q6</t>
        </is>
      </c>
      <c r="B32" s="7" t="inlineStr">
        <is>
          <t>Q4</t>
        </is>
      </c>
      <c r="C32" s="7" t="inlineStr">
        <is>
          <t>igniter</t>
        </is>
      </c>
    </row>
    <row r="33" ht="15" customHeight="1" s="5">
      <c r="A33" s="7" t="inlineStr">
        <is>
          <t>Q3</t>
        </is>
      </c>
      <c r="B33" s="7" t="inlineStr">
        <is>
          <t>Q5</t>
        </is>
      </c>
      <c r="C33" s="7" t="inlineStr">
        <is>
          <t>igniter</t>
        </is>
      </c>
    </row>
    <row r="34" ht="15" customHeight="1" s="5">
      <c r="A34" s="7" t="inlineStr">
        <is>
          <t>Q5</t>
        </is>
      </c>
      <c r="B34" s="7" t="inlineStr">
        <is>
          <t>Q6</t>
        </is>
      </c>
      <c r="C34" s="7" t="inlineStr">
        <is>
          <t>igniter</t>
        </is>
      </c>
    </row>
    <row r="35" ht="15" customHeight="1" s="5">
      <c r="A35" s="7" t="inlineStr">
        <is>
          <t>R40</t>
        </is>
      </c>
      <c r="B35" s="7" t="inlineStr">
        <is>
          <t>R37</t>
        </is>
      </c>
      <c r="C35" s="7" t="inlineStr">
        <is>
          <t>igniter</t>
        </is>
      </c>
    </row>
    <row r="36" ht="15" customHeight="1" s="5">
      <c r="A36" s="7" t="inlineStr">
        <is>
          <t>R51</t>
        </is>
      </c>
      <c r="B36" s="7" t="inlineStr">
        <is>
          <t>R38</t>
        </is>
      </c>
      <c r="C36" s="7" t="inlineStr">
        <is>
          <t>igniter</t>
        </is>
      </c>
    </row>
    <row r="37" ht="15" customHeight="1" s="5">
      <c r="A37" s="7" t="inlineStr">
        <is>
          <t>R39</t>
        </is>
      </c>
      <c r="B37" s="7" t="inlineStr">
        <is>
          <t>R39</t>
        </is>
      </c>
      <c r="C37" s="7" t="inlineStr">
        <is>
          <t>igniter</t>
        </is>
      </c>
    </row>
    <row r="38" ht="15" customHeight="1" s="5">
      <c r="A38" s="7" t="inlineStr">
        <is>
          <t>R50</t>
        </is>
      </c>
      <c r="B38" s="7" t="inlineStr">
        <is>
          <t>R40</t>
        </is>
      </c>
      <c r="C38" s="7" t="inlineStr">
        <is>
          <t>igniter</t>
        </is>
      </c>
    </row>
    <row r="39" ht="15" customHeight="1" s="5">
      <c r="A39" s="7" t="inlineStr">
        <is>
          <t>R37</t>
        </is>
      </c>
      <c r="B39" s="7" t="inlineStr">
        <is>
          <t>R41</t>
        </is>
      </c>
      <c r="C39" s="7" t="inlineStr">
        <is>
          <t>igniter</t>
        </is>
      </c>
    </row>
    <row r="40" ht="15" customHeight="1" s="5">
      <c r="A40" s="7" t="inlineStr">
        <is>
          <t>R38</t>
        </is>
      </c>
      <c r="B40" s="7" t="inlineStr">
        <is>
          <t>R42</t>
        </is>
      </c>
      <c r="C40" s="7" t="inlineStr">
        <is>
          <t>igniter</t>
        </is>
      </c>
    </row>
    <row r="41" ht="15" customHeight="1" s="5">
      <c r="A41" s="7" t="inlineStr">
        <is>
          <t>R45</t>
        </is>
      </c>
      <c r="B41" s="7" t="inlineStr">
        <is>
          <t>R43</t>
        </is>
      </c>
      <c r="C41" s="7" t="inlineStr">
        <is>
          <t>igniter</t>
        </is>
      </c>
    </row>
    <row r="42" ht="15" customHeight="1" s="5">
      <c r="A42" s="7" t="inlineStr">
        <is>
          <t>R46</t>
        </is>
      </c>
      <c r="B42" s="7" t="inlineStr">
        <is>
          <t>R44</t>
        </is>
      </c>
      <c r="C42" s="7" t="inlineStr">
        <is>
          <t>igniter</t>
        </is>
      </c>
    </row>
    <row r="43" ht="15" customHeight="1" s="5">
      <c r="A43" s="7" t="inlineStr">
        <is>
          <t>(new part)</t>
        </is>
      </c>
      <c r="B43" s="7" t="inlineStr">
        <is>
          <t>R45</t>
        </is>
      </c>
      <c r="C43" s="7" t="inlineStr">
        <is>
          <t>igniter</t>
        </is>
      </c>
    </row>
    <row r="44" ht="15" customHeight="1" s="5">
      <c r="A44" s="7" t="inlineStr">
        <is>
          <t>(new part)</t>
        </is>
      </c>
      <c r="B44" s="7" t="inlineStr">
        <is>
          <t>R46</t>
        </is>
      </c>
      <c r="C44" s="7" t="inlineStr">
        <is>
          <t>igniter</t>
        </is>
      </c>
    </row>
    <row r="45" ht="15" customHeight="1" s="5">
      <c r="A45" s="7" t="inlineStr">
        <is>
          <t>(new part)</t>
        </is>
      </c>
      <c r="B45" s="7" t="inlineStr">
        <is>
          <t>R47</t>
        </is>
      </c>
      <c r="C45" s="7" t="inlineStr">
        <is>
          <t>igniter</t>
        </is>
      </c>
    </row>
    <row r="46" ht="15" customHeight="1" s="5">
      <c r="A46" s="7" t="inlineStr">
        <is>
          <t>(new part)</t>
        </is>
      </c>
      <c r="B46" s="7" t="inlineStr">
        <is>
          <t>R48</t>
        </is>
      </c>
      <c r="C46" s="7" t="inlineStr">
        <is>
          <t>igniter</t>
        </is>
      </c>
    </row>
    <row r="47" ht="15" customHeight="1" s="5">
      <c r="A47" s="7" t="inlineStr">
        <is>
          <t>R36</t>
        </is>
      </c>
      <c r="B47" s="7" t="inlineStr">
        <is>
          <t>R49</t>
        </is>
      </c>
      <c r="C47" s="7" t="inlineStr">
        <is>
          <t>igniter</t>
        </is>
      </c>
    </row>
    <row r="48" ht="15" customHeight="1" s="5">
      <c r="A48" s="7" t="inlineStr">
        <is>
          <t>R43</t>
        </is>
      </c>
      <c r="B48" s="7" t="inlineStr">
        <is>
          <t>R50</t>
        </is>
      </c>
      <c r="C48" s="7" t="inlineStr">
        <is>
          <t>igniter</t>
        </is>
      </c>
    </row>
    <row r="49" ht="15" customHeight="1" s="5">
      <c r="A49" s="7" t="inlineStr">
        <is>
          <t>R41</t>
        </is>
      </c>
      <c r="B49" s="7" t="inlineStr">
        <is>
          <t>R51</t>
        </is>
      </c>
      <c r="C49" s="7" t="inlineStr">
        <is>
          <t>igniter</t>
        </is>
      </c>
    </row>
    <row r="50" ht="15" customHeight="1" s="5">
      <c r="A50" s="7" t="inlineStr">
        <is>
          <t>R47</t>
        </is>
      </c>
      <c r="B50" s="7" t="inlineStr">
        <is>
          <t>R52</t>
        </is>
      </c>
      <c r="C50" s="7" t="inlineStr">
        <is>
          <t>igniter</t>
        </is>
      </c>
    </row>
    <row r="51" ht="15" customHeight="1" s="5">
      <c r="A51" s="7" t="inlineStr">
        <is>
          <t>R42</t>
        </is>
      </c>
      <c r="B51" s="7" t="inlineStr">
        <is>
          <t>R53</t>
        </is>
      </c>
      <c r="C51" s="7" t="inlineStr">
        <is>
          <t>igniter</t>
        </is>
      </c>
    </row>
    <row r="52" ht="15" customHeight="1" s="5">
      <c r="A52" s="7" t="inlineStr">
        <is>
          <t>R48</t>
        </is>
      </c>
      <c r="B52" s="7" t="inlineStr">
        <is>
          <t>R54</t>
        </is>
      </c>
      <c r="C52" s="7" t="inlineStr">
        <is>
          <t>igniter</t>
        </is>
      </c>
    </row>
    <row r="53" ht="15" customHeight="1" s="5">
      <c r="A53" s="7" t="inlineStr">
        <is>
          <t>R44</t>
        </is>
      </c>
      <c r="B53" s="7" t="inlineStr">
        <is>
          <t>R55</t>
        </is>
      </c>
      <c r="C53" s="7" t="inlineStr">
        <is>
          <t>igniter</t>
        </is>
      </c>
    </row>
    <row r="54" ht="15" customHeight="1" s="5">
      <c r="A54" s="7" t="inlineStr">
        <is>
          <t>R49</t>
        </is>
      </c>
      <c r="B54" s="7" t="inlineStr">
        <is>
          <t>R56</t>
        </is>
      </c>
      <c r="C54" s="7" t="inlineStr">
        <is>
          <t>igniter</t>
        </is>
      </c>
    </row>
    <row r="55" ht="15" customHeight="1" s="5">
      <c r="A55" s="7" t="inlineStr">
        <is>
          <t>TP6</t>
        </is>
      </c>
      <c r="B55" s="7" t="inlineStr">
        <is>
          <t>TP7</t>
        </is>
      </c>
      <c r="C55" s="7" t="inlineStr">
        <is>
          <t>igniter</t>
        </is>
      </c>
    </row>
    <row r="56" ht="15" customHeight="1" s="5">
      <c r="A56" s="7" t="inlineStr">
        <is>
          <t>TP7</t>
        </is>
      </c>
      <c r="B56" s="7" t="inlineStr">
        <is>
          <t>TP8</t>
        </is>
      </c>
      <c r="C56" s="7" t="inlineStr">
        <is>
          <t>igniter</t>
        </is>
      </c>
    </row>
    <row r="57" ht="15" customHeight="1" s="5">
      <c r="A57" s="7" t="inlineStr">
        <is>
          <t>TP8</t>
        </is>
      </c>
      <c r="B57" s="7" t="inlineStr">
        <is>
          <t>TP9</t>
        </is>
      </c>
      <c r="C57" s="7" t="inlineStr">
        <is>
          <t>igniter</t>
        </is>
      </c>
    </row>
    <row r="58" ht="15" customHeight="1" s="5">
      <c r="A58" s="7" t="inlineStr">
        <is>
          <t>TP9</t>
        </is>
      </c>
      <c r="B58" s="7" t="inlineStr">
        <is>
          <t>TP10</t>
        </is>
      </c>
      <c r="C58" s="7" t="inlineStr">
        <is>
          <t>igniter</t>
        </is>
      </c>
    </row>
    <row r="59" ht="15" customHeight="1" s="5">
      <c r="A59" s="7" t="inlineStr">
        <is>
          <t>TP10</t>
        </is>
      </c>
      <c r="B59" s="7" t="inlineStr">
        <is>
          <t>TP11</t>
        </is>
      </c>
      <c r="C59" s="7" t="inlineStr">
        <is>
          <t>igniter</t>
        </is>
      </c>
    </row>
    <row r="60" ht="15" customHeight="1" s="5">
      <c r="A60" s="7" t="inlineStr">
        <is>
          <t>BZ1</t>
        </is>
      </c>
      <c r="B60" s="7" t="inlineStr">
        <is>
          <t>BZ1</t>
        </is>
      </c>
      <c r="C60" s="7" t="inlineStr">
        <is>
          <t>indicators</t>
        </is>
      </c>
    </row>
    <row r="61" ht="15" customHeight="1" s="5">
      <c r="A61" s="7" t="inlineStr">
        <is>
          <t>C37</t>
        </is>
      </c>
      <c r="B61" s="7" t="inlineStr">
        <is>
          <t>C35</t>
        </is>
      </c>
      <c r="C61" s="7" t="inlineStr">
        <is>
          <t>indicators</t>
        </is>
      </c>
    </row>
    <row r="62" ht="15" customHeight="1" s="5">
      <c r="A62" s="7" t="inlineStr">
        <is>
          <t>C38</t>
        </is>
      </c>
      <c r="B62" s="7" t="inlineStr">
        <is>
          <t>C36</t>
        </is>
      </c>
      <c r="C62" s="7" t="inlineStr">
        <is>
          <t>indicators</t>
        </is>
      </c>
    </row>
    <row r="63" ht="15" customHeight="1" s="5">
      <c r="A63" s="7" t="inlineStr">
        <is>
          <t>D2</t>
        </is>
      </c>
      <c r="B63" s="7" t="inlineStr">
        <is>
          <t>D2</t>
        </is>
      </c>
      <c r="C63" s="7" t="inlineStr">
        <is>
          <t>indicators</t>
        </is>
      </c>
    </row>
    <row r="64" ht="15" customHeight="1" s="5">
      <c r="A64" s="7" t="inlineStr">
        <is>
          <t>D3</t>
        </is>
      </c>
      <c r="B64" s="7" t="inlineStr">
        <is>
          <t>D3</t>
        </is>
      </c>
      <c r="C64" s="7" t="inlineStr">
        <is>
          <t>indicators</t>
        </is>
      </c>
    </row>
    <row r="65" ht="15" customHeight="1" s="5">
      <c r="A65" s="7" t="inlineStr">
        <is>
          <t>D4</t>
        </is>
      </c>
      <c r="B65" s="7" t="inlineStr">
        <is>
          <t>D4</t>
        </is>
      </c>
      <c r="C65" s="7" t="inlineStr">
        <is>
          <t>indicators</t>
        </is>
      </c>
    </row>
    <row r="66" ht="15" customHeight="1" s="5">
      <c r="A66" s="7" t="inlineStr">
        <is>
          <t>D5</t>
        </is>
      </c>
      <c r="B66" s="7" t="inlineStr">
        <is>
          <t>D5</t>
        </is>
      </c>
      <c r="C66" s="7" t="inlineStr">
        <is>
          <t>indicators</t>
        </is>
      </c>
    </row>
    <row r="67" ht="15" customHeight="1" s="5">
      <c r="A67" s="7" t="inlineStr">
        <is>
          <t>D6</t>
        </is>
      </c>
      <c r="B67" s="7" t="inlineStr">
        <is>
          <t>D6</t>
        </is>
      </c>
      <c r="C67" s="7" t="inlineStr">
        <is>
          <t>indicators</t>
        </is>
      </c>
    </row>
    <row r="68" ht="15" customHeight="1" s="5">
      <c r="A68" s="7" t="inlineStr">
        <is>
          <t>Q2</t>
        </is>
      </c>
      <c r="B68" s="7" t="inlineStr">
        <is>
          <t>Q2</t>
        </is>
      </c>
      <c r="C68" s="7" t="inlineStr">
        <is>
          <t>indicators</t>
        </is>
      </c>
    </row>
    <row r="69" ht="15" customHeight="1" s="5">
      <c r="A69" s="7" t="inlineStr">
        <is>
          <t>R26</t>
        </is>
      </c>
      <c r="B69" s="7" t="inlineStr">
        <is>
          <t>R19</t>
        </is>
      </c>
      <c r="C69" s="7" t="inlineStr">
        <is>
          <t>indicators</t>
        </is>
      </c>
    </row>
    <row r="70" ht="15" customHeight="1" s="5">
      <c r="A70" s="7" t="inlineStr">
        <is>
          <t>R19</t>
        </is>
      </c>
      <c r="B70" s="7" t="inlineStr">
        <is>
          <t>R20</t>
        </is>
      </c>
      <c r="C70" s="7" t="inlineStr">
        <is>
          <t>indicators</t>
        </is>
      </c>
    </row>
    <row r="71" ht="15" customHeight="1" s="5">
      <c r="A71" s="7" t="inlineStr">
        <is>
          <t>R20</t>
        </is>
      </c>
      <c r="B71" s="7" t="inlineStr">
        <is>
          <t>R21</t>
        </is>
      </c>
      <c r="C71" s="7" t="inlineStr">
        <is>
          <t>indicators</t>
        </is>
      </c>
    </row>
    <row r="72" ht="15" customHeight="1" s="5">
      <c r="A72" s="7" t="inlineStr">
        <is>
          <t>R21</t>
        </is>
      </c>
      <c r="B72" s="7" t="inlineStr">
        <is>
          <t>R22</t>
        </is>
      </c>
      <c r="C72" s="7" t="inlineStr">
        <is>
          <t>indicators</t>
        </is>
      </c>
    </row>
    <row r="73" ht="15" customHeight="1" s="5">
      <c r="A73" s="7" t="inlineStr">
        <is>
          <t>R22</t>
        </is>
      </c>
      <c r="B73" s="7" t="inlineStr">
        <is>
          <t>R23</t>
        </is>
      </c>
      <c r="C73" s="7" t="inlineStr">
        <is>
          <t>indicators</t>
        </is>
      </c>
    </row>
    <row r="74" ht="15" customHeight="1" s="5">
      <c r="A74" s="7" t="inlineStr">
        <is>
          <t>R23</t>
        </is>
      </c>
      <c r="B74" s="7" t="inlineStr">
        <is>
          <t>R24</t>
        </is>
      </c>
      <c r="C74" s="7" t="inlineStr">
        <is>
          <t>indicators</t>
        </is>
      </c>
    </row>
    <row r="75" ht="15" customHeight="1" s="5">
      <c r="A75" s="7" t="inlineStr">
        <is>
          <t>R24</t>
        </is>
      </c>
      <c r="B75" s="7" t="inlineStr">
        <is>
          <t>R25</t>
        </is>
      </c>
      <c r="C75" s="7" t="inlineStr">
        <is>
          <t>indicators</t>
        </is>
      </c>
    </row>
    <row r="76" ht="15" customHeight="1" s="5">
      <c r="A76" s="7" t="inlineStr">
        <is>
          <t>R25</t>
        </is>
      </c>
      <c r="B76" s="7" t="inlineStr">
        <is>
          <t>R26</t>
        </is>
      </c>
      <c r="C76" s="7" t="inlineStr">
        <is>
          <t>indicators</t>
        </is>
      </c>
    </row>
    <row r="77" ht="15" customHeight="1" s="5">
      <c r="A77" s="7" t="inlineStr">
        <is>
          <t>C2</t>
        </is>
      </c>
      <c r="B77" s="7" t="inlineStr">
        <is>
          <t>C1</t>
        </is>
      </c>
      <c r="C77" s="7" t="inlineStr">
        <is>
          <t>mcu</t>
        </is>
      </c>
    </row>
    <row r="78" ht="15" customHeight="1" s="5">
      <c r="A78" s="7" t="inlineStr">
        <is>
          <t>C3</t>
        </is>
      </c>
      <c r="B78" s="7" t="inlineStr">
        <is>
          <t>C2</t>
        </is>
      </c>
      <c r="C78" s="7" t="inlineStr">
        <is>
          <t>mcu</t>
        </is>
      </c>
    </row>
    <row r="79" ht="15" customHeight="1" s="5">
      <c r="A79" s="7" t="inlineStr">
        <is>
          <t>C4</t>
        </is>
      </c>
      <c r="B79" s="7" t="inlineStr">
        <is>
          <t>C3</t>
        </is>
      </c>
      <c r="C79" s="7" t="inlineStr">
        <is>
          <t>mcu</t>
        </is>
      </c>
    </row>
    <row r="80" ht="15" customHeight="1" s="5">
      <c r="A80" s="7" t="inlineStr">
        <is>
          <t>C5</t>
        </is>
      </c>
      <c r="B80" s="7" t="inlineStr">
        <is>
          <t>C4</t>
        </is>
      </c>
      <c r="C80" s="7" t="inlineStr">
        <is>
          <t>mcu</t>
        </is>
      </c>
    </row>
    <row r="81" ht="15" customHeight="1" s="5">
      <c r="A81" s="7" t="inlineStr">
        <is>
          <t>C12</t>
        </is>
      </c>
      <c r="B81" s="7" t="inlineStr">
        <is>
          <t>C5</t>
        </is>
      </c>
      <c r="C81" s="7" t="inlineStr">
        <is>
          <t>mcu</t>
        </is>
      </c>
    </row>
    <row r="82" ht="15" customHeight="1" s="5">
      <c r="A82" s="7" t="inlineStr">
        <is>
          <t>C13</t>
        </is>
      </c>
      <c r="B82" s="7" t="inlineStr">
        <is>
          <t>C6</t>
        </is>
      </c>
      <c r="C82" s="7" t="inlineStr">
        <is>
          <t>mcu</t>
        </is>
      </c>
    </row>
    <row r="83" ht="15" customHeight="1" s="5">
      <c r="A83" s="7" t="inlineStr">
        <is>
          <t>C6</t>
        </is>
      </c>
      <c r="B83" s="7" t="inlineStr">
        <is>
          <t>C7</t>
        </is>
      </c>
      <c r="C83" s="7" t="inlineStr">
        <is>
          <t>mcu</t>
        </is>
      </c>
    </row>
    <row r="84" ht="15" customHeight="1" s="5">
      <c r="A84" s="7" t="inlineStr">
        <is>
          <t>C7</t>
        </is>
      </c>
      <c r="B84" s="7" t="inlineStr">
        <is>
          <t>C8</t>
        </is>
      </c>
      <c r="C84" s="7" t="inlineStr">
        <is>
          <t>mcu</t>
        </is>
      </c>
    </row>
    <row r="85" ht="15" customHeight="1" s="5">
      <c r="A85" s="7" t="inlineStr">
        <is>
          <t>C8</t>
        </is>
      </c>
      <c r="B85" s="7" t="inlineStr">
        <is>
          <t>C9</t>
        </is>
      </c>
      <c r="C85" s="7" t="inlineStr">
        <is>
          <t>mcu</t>
        </is>
      </c>
    </row>
    <row r="86" ht="15" customHeight="1" s="5">
      <c r="A86" s="7" t="inlineStr">
        <is>
          <t>C9</t>
        </is>
      </c>
      <c r="B86" s="7" t="inlineStr">
        <is>
          <t>C10</t>
        </is>
      </c>
      <c r="C86" s="7" t="inlineStr">
        <is>
          <t>mcu</t>
        </is>
      </c>
    </row>
    <row r="87" ht="15" customHeight="1" s="5">
      <c r="A87" s="7" t="inlineStr">
        <is>
          <t>C10</t>
        </is>
      </c>
      <c r="B87" s="7" t="inlineStr">
        <is>
          <t>C11</t>
        </is>
      </c>
      <c r="C87" s="7" t="inlineStr">
        <is>
          <t>mcu</t>
        </is>
      </c>
    </row>
    <row r="88" ht="15" customHeight="1" s="5">
      <c r="A88" s="7" t="inlineStr">
        <is>
          <t>C11</t>
        </is>
      </c>
      <c r="B88" s="7" t="inlineStr">
        <is>
          <t>C12</t>
        </is>
      </c>
      <c r="C88" s="7" t="inlineStr">
        <is>
          <t>mcu</t>
        </is>
      </c>
    </row>
    <row r="89" ht="15" customHeight="1" s="5">
      <c r="A89" s="7" t="inlineStr">
        <is>
          <t>C14</t>
        </is>
      </c>
      <c r="B89" s="7" t="inlineStr">
        <is>
          <t>C13</t>
        </is>
      </c>
      <c r="C89" s="7" t="inlineStr">
        <is>
          <t>mcu</t>
        </is>
      </c>
    </row>
    <row r="90" ht="15" customHeight="1" s="5">
      <c r="A90" s="7" t="inlineStr">
        <is>
          <t>C1</t>
        </is>
      </c>
      <c r="B90" s="7" t="inlineStr">
        <is>
          <t>C14</t>
        </is>
      </c>
      <c r="C90" s="7" t="inlineStr">
        <is>
          <t>mcu</t>
        </is>
      </c>
    </row>
    <row r="91" ht="15" customHeight="1" s="5">
      <c r="A91" s="7" t="inlineStr">
        <is>
          <t>C15</t>
        </is>
      </c>
      <c r="B91" s="7" t="inlineStr">
        <is>
          <t>C15</t>
        </is>
      </c>
      <c r="C91" s="7" t="inlineStr">
        <is>
          <t>mcu</t>
        </is>
      </c>
    </row>
    <row r="92" ht="15" customHeight="1" s="5">
      <c r="A92" s="7" t="inlineStr">
        <is>
          <t>C16</t>
        </is>
      </c>
      <c r="B92" s="7" t="inlineStr">
        <is>
          <t>C16</t>
        </is>
      </c>
      <c r="C92" s="7" t="inlineStr">
        <is>
          <t>mcu</t>
        </is>
      </c>
    </row>
    <row r="93" ht="15" customHeight="1" s="5">
      <c r="A93" s="7" t="inlineStr">
        <is>
          <t>C17</t>
        </is>
      </c>
      <c r="B93" s="7" t="inlineStr">
        <is>
          <t>C17</t>
        </is>
      </c>
      <c r="C93" s="7" t="inlineStr">
        <is>
          <t>mcu</t>
        </is>
      </c>
    </row>
    <row r="94" ht="15" customHeight="1" s="5">
      <c r="A94" s="7" t="inlineStr">
        <is>
          <t>FB1</t>
        </is>
      </c>
      <c r="B94" s="7" t="inlineStr">
        <is>
          <t>FB1</t>
        </is>
      </c>
      <c r="C94" s="7" t="inlineStr">
        <is>
          <t>mcu</t>
        </is>
      </c>
    </row>
    <row r="95" ht="15" customHeight="1" s="5">
      <c r="A95" s="7" t="inlineStr">
        <is>
          <t>H1</t>
        </is>
      </c>
      <c r="B95" s="7" t="inlineStr">
        <is>
          <t>H1</t>
        </is>
      </c>
      <c r="C95" s="7" t="inlineStr">
        <is>
          <t>mcu</t>
        </is>
      </c>
    </row>
    <row r="96" ht="15" customHeight="1" s="5">
      <c r="A96" s="7" t="inlineStr">
        <is>
          <t>H2</t>
        </is>
      </c>
      <c r="B96" s="7" t="inlineStr">
        <is>
          <t>H2</t>
        </is>
      </c>
      <c r="C96" s="7" t="inlineStr">
        <is>
          <t>mcu</t>
        </is>
      </c>
    </row>
    <row r="97" ht="15" customHeight="1" s="5">
      <c r="A97" s="7" t="inlineStr">
        <is>
          <t>H3</t>
        </is>
      </c>
      <c r="B97" s="7" t="inlineStr">
        <is>
          <t>H3</t>
        </is>
      </c>
      <c r="C97" s="7" t="inlineStr">
        <is>
          <t>mcu</t>
        </is>
      </c>
    </row>
    <row r="98" ht="15" customHeight="1" s="5">
      <c r="A98" s="7" t="inlineStr">
        <is>
          <t>R3</t>
        </is>
      </c>
      <c r="B98" s="7" t="inlineStr">
        <is>
          <t>R1</t>
        </is>
      </c>
      <c r="C98" s="7" t="inlineStr">
        <is>
          <t>mcu</t>
        </is>
      </c>
    </row>
    <row r="99" ht="15" customHeight="1" s="5">
      <c r="A99" s="7" t="inlineStr">
        <is>
          <t>R1</t>
        </is>
      </c>
      <c r="B99" s="7" t="inlineStr">
        <is>
          <t>R2</t>
        </is>
      </c>
      <c r="C99" s="7" t="inlineStr">
        <is>
          <t>mcu</t>
        </is>
      </c>
    </row>
    <row r="100" ht="15" customHeight="1" s="5">
      <c r="A100" s="7" t="inlineStr">
        <is>
          <t>R2</t>
        </is>
      </c>
      <c r="B100" s="7" t="inlineStr">
        <is>
          <t>R3</t>
        </is>
      </c>
      <c r="C100" s="7" t="inlineStr">
        <is>
          <t>mcu</t>
        </is>
      </c>
    </row>
    <row r="101" ht="15" customHeight="1" s="5">
      <c r="A101" s="7" t="inlineStr">
        <is>
          <t>SW2</t>
        </is>
      </c>
      <c r="B101" s="7" t="inlineStr">
        <is>
          <t>SW1</t>
        </is>
      </c>
      <c r="C101" s="7" t="inlineStr">
        <is>
          <t>mcu</t>
        </is>
      </c>
    </row>
    <row r="102" ht="15" customHeight="1" s="5">
      <c r="A102" s="7" t="inlineStr">
        <is>
          <t>SW1</t>
        </is>
      </c>
      <c r="B102" s="7" t="inlineStr">
        <is>
          <t>SW2</t>
        </is>
      </c>
      <c r="C102" s="7" t="inlineStr">
        <is>
          <t>mcu</t>
        </is>
      </c>
    </row>
    <row r="103" ht="15" customHeight="1" s="5">
      <c r="A103" s="7" t="inlineStr">
        <is>
          <t>U1</t>
        </is>
      </c>
      <c r="B103" s="7" t="inlineStr">
        <is>
          <t>U1</t>
        </is>
      </c>
      <c r="C103" s="7" t="inlineStr">
        <is>
          <t>mcu</t>
        </is>
      </c>
    </row>
    <row r="104" ht="15" customHeight="1" s="5">
      <c r="A104" s="7" t="inlineStr">
        <is>
          <t>Y1</t>
        </is>
      </c>
      <c r="B104" s="7" t="inlineStr">
        <is>
          <t>Y1</t>
        </is>
      </c>
      <c r="C104" s="7" t="inlineStr">
        <is>
          <t>mcu</t>
        </is>
      </c>
    </row>
    <row r="105" ht="15" customHeight="1" s="5">
      <c r="A105" s="7" t="inlineStr">
        <is>
          <t>Y2</t>
        </is>
      </c>
      <c r="B105" s="7" t="inlineStr">
        <is>
          <t>Y2</t>
        </is>
      </c>
      <c r="C105" s="7" t="inlineStr">
        <is>
          <t>mcu</t>
        </is>
      </c>
    </row>
    <row r="106" ht="15" customHeight="1" s="5">
      <c r="A106" s="7" t="inlineStr">
        <is>
          <t>C19</t>
        </is>
      </c>
      <c r="B106" s="7" t="inlineStr">
        <is>
          <t>C18</t>
        </is>
      </c>
      <c r="C106" s="7" t="inlineStr">
        <is>
          <t>power</t>
        </is>
      </c>
    </row>
    <row r="107" ht="15" customHeight="1" s="5">
      <c r="A107" s="7" t="inlineStr">
        <is>
          <t>(new part)</t>
        </is>
      </c>
      <c r="B107" s="7" t="inlineStr">
        <is>
          <t>C19</t>
        </is>
      </c>
      <c r="C107" s="7" t="inlineStr">
        <is>
          <t>power</t>
        </is>
      </c>
    </row>
    <row r="108" ht="15" customHeight="1" s="5">
      <c r="A108" s="7" t="inlineStr">
        <is>
          <t>C24</t>
        </is>
      </c>
      <c r="B108" s="7" t="inlineStr">
        <is>
          <t>C20</t>
        </is>
      </c>
      <c r="C108" s="7" t="inlineStr">
        <is>
          <t>power</t>
        </is>
      </c>
    </row>
    <row r="109" ht="15" customHeight="1" s="5">
      <c r="A109" s="7" t="inlineStr">
        <is>
          <t>C26</t>
        </is>
      </c>
      <c r="B109" s="7" t="inlineStr">
        <is>
          <t>C21</t>
        </is>
      </c>
      <c r="C109" s="7" t="inlineStr">
        <is>
          <t>power</t>
        </is>
      </c>
    </row>
    <row r="110" ht="15" customHeight="1" s="5">
      <c r="A110" s="7" t="inlineStr">
        <is>
          <t>(new part)</t>
        </is>
      </c>
      <c r="B110" s="7" t="inlineStr">
        <is>
          <t>C22</t>
        </is>
      </c>
      <c r="C110" s="7" t="inlineStr">
        <is>
          <t>power</t>
        </is>
      </c>
    </row>
    <row r="111" ht="15" customHeight="1" s="5">
      <c r="A111" s="7" t="inlineStr">
        <is>
          <t>(new part)</t>
        </is>
      </c>
      <c r="B111" s="7" t="inlineStr">
        <is>
          <t>C23</t>
        </is>
      </c>
      <c r="C111" s="7" t="inlineStr">
        <is>
          <t>power</t>
        </is>
      </c>
    </row>
    <row r="112" ht="15" customHeight="1" s="5">
      <c r="A112" s="7" t="inlineStr">
        <is>
          <t>C25</t>
        </is>
      </c>
      <c r="B112" s="7" t="inlineStr">
        <is>
          <t>C24</t>
        </is>
      </c>
      <c r="C112" s="7" t="inlineStr">
        <is>
          <t>power</t>
        </is>
      </c>
    </row>
    <row r="113" ht="15" customHeight="1" s="5">
      <c r="A113" s="7" t="inlineStr">
        <is>
          <t>D1</t>
        </is>
      </c>
      <c r="B113" s="7" t="inlineStr">
        <is>
          <t>D1</t>
        </is>
      </c>
      <c r="C113" s="7" t="inlineStr">
        <is>
          <t>power</t>
        </is>
      </c>
    </row>
    <row r="114" ht="15" customHeight="1" s="5">
      <c r="A114" s="7" t="inlineStr">
        <is>
          <t>J3</t>
        </is>
      </c>
      <c r="B114" s="7" t="inlineStr">
        <is>
          <t>J2</t>
        </is>
      </c>
      <c r="C114" s="7" t="inlineStr">
        <is>
          <t>power</t>
        </is>
      </c>
    </row>
    <row r="115" ht="15" customHeight="1" s="5">
      <c r="A115" s="7" t="inlineStr">
        <is>
          <t>J2</t>
        </is>
      </c>
      <c r="B115" s="7" t="inlineStr">
        <is>
          <t>J3</t>
        </is>
      </c>
      <c r="C115" s="7" t="inlineStr">
        <is>
          <t>power</t>
        </is>
      </c>
    </row>
    <row r="116" ht="15" customHeight="1" s="5">
      <c r="A116" s="7" t="inlineStr">
        <is>
          <t>(new part)</t>
        </is>
      </c>
      <c r="B116" s="7" t="inlineStr">
        <is>
          <t>L1</t>
        </is>
      </c>
      <c r="C116" s="7" t="inlineStr">
        <is>
          <t>power</t>
        </is>
      </c>
    </row>
    <row r="117" ht="15" customHeight="1" s="5">
      <c r="A117" s="7" t="inlineStr">
        <is>
          <t>Q1</t>
        </is>
      </c>
      <c r="B117" s="7" t="inlineStr">
        <is>
          <t>Q1</t>
        </is>
      </c>
      <c r="C117" s="7" t="inlineStr">
        <is>
          <t>power</t>
        </is>
      </c>
    </row>
    <row r="118" ht="15" customHeight="1" s="5">
      <c r="A118" s="7" t="inlineStr">
        <is>
          <t>R6</t>
        </is>
      </c>
      <c r="B118" s="7" t="inlineStr">
        <is>
          <t>R5</t>
        </is>
      </c>
      <c r="C118" s="7" t="inlineStr">
        <is>
          <t>power</t>
        </is>
      </c>
    </row>
    <row r="119" ht="15" customHeight="1" s="5">
      <c r="A119" s="7" t="inlineStr">
        <is>
          <t>R7</t>
        </is>
      </c>
      <c r="B119" s="7" t="inlineStr">
        <is>
          <t>R6</t>
        </is>
      </c>
      <c r="C119" s="7" t="inlineStr">
        <is>
          <t>power</t>
        </is>
      </c>
    </row>
    <row r="120" ht="15" customHeight="1" s="5">
      <c r="A120" s="7" t="inlineStr">
        <is>
          <t>R5</t>
        </is>
      </c>
      <c r="B120" s="7" t="inlineStr">
        <is>
          <t>R7</t>
        </is>
      </c>
      <c r="C120" s="7" t="inlineStr">
        <is>
          <t>power</t>
        </is>
      </c>
    </row>
    <row r="121" ht="15" customHeight="1" s="5">
      <c r="A121" s="7" t="inlineStr">
        <is>
          <t>R13</t>
        </is>
      </c>
      <c r="B121" s="7" t="inlineStr">
        <is>
          <t>R8</t>
        </is>
      </c>
      <c r="C121" s="7" t="inlineStr">
        <is>
          <t>power</t>
        </is>
      </c>
    </row>
    <row r="122" ht="15" customHeight="1" s="5">
      <c r="A122" s="7" t="inlineStr">
        <is>
          <t>R14</t>
        </is>
      </c>
      <c r="B122" s="7" t="inlineStr">
        <is>
          <t>R9</t>
        </is>
      </c>
      <c r="C122" s="7" t="inlineStr">
        <is>
          <t>power</t>
        </is>
      </c>
    </row>
    <row r="123" ht="15" customHeight="1" s="5">
      <c r="A123" s="7" t="inlineStr">
        <is>
          <t>R15</t>
        </is>
      </c>
      <c r="B123" s="7" t="inlineStr">
        <is>
          <t>R10</t>
        </is>
      </c>
      <c r="C123" s="7" t="inlineStr">
        <is>
          <t>power</t>
        </is>
      </c>
    </row>
    <row r="124" ht="15" customHeight="1" s="5">
      <c r="A124" s="7" t="inlineStr">
        <is>
          <t>R10</t>
        </is>
      </c>
      <c r="B124" s="7" t="inlineStr">
        <is>
          <t>R11</t>
        </is>
      </c>
      <c r="C124" s="7" t="inlineStr">
        <is>
          <t>power</t>
        </is>
      </c>
    </row>
    <row r="125" ht="15" customHeight="1" s="5">
      <c r="A125" s="7" t="inlineStr">
        <is>
          <t>R12</t>
        </is>
      </c>
      <c r="B125" s="7" t="inlineStr">
        <is>
          <t>R12</t>
        </is>
      </c>
      <c r="C125" s="7" t="inlineStr">
        <is>
          <t>power</t>
        </is>
      </c>
    </row>
    <row r="126" ht="15" customHeight="1" s="5">
      <c r="A126" s="7" t="inlineStr">
        <is>
          <t>(new part)</t>
        </is>
      </c>
      <c r="B126" s="7" t="inlineStr">
        <is>
          <t>R13</t>
        </is>
      </c>
      <c r="C126" s="7" t="inlineStr">
        <is>
          <t>power</t>
        </is>
      </c>
    </row>
    <row r="127" ht="15" customHeight="1" s="5">
      <c r="A127" s="7" t="inlineStr">
        <is>
          <t>(new part)</t>
        </is>
      </c>
      <c r="B127" s="7" t="inlineStr">
        <is>
          <t>R14</t>
        </is>
      </c>
      <c r="C127" s="7" t="inlineStr">
        <is>
          <t>power</t>
        </is>
      </c>
    </row>
    <row r="128" ht="15" customHeight="1" s="5">
      <c r="A128" s="7" t="inlineStr">
        <is>
          <t>R11</t>
        </is>
      </c>
      <c r="B128" s="7" t="inlineStr">
        <is>
          <t>R15</t>
        </is>
      </c>
      <c r="C128" s="7" t="inlineStr">
        <is>
          <t>power</t>
        </is>
      </c>
    </row>
    <row r="129" ht="15" customHeight="1" s="5">
      <c r="A129" s="7" t="inlineStr">
        <is>
          <t>SW3</t>
        </is>
      </c>
      <c r="B129" s="7" t="inlineStr">
        <is>
          <t>SW3</t>
        </is>
      </c>
      <c r="C129" s="7" t="inlineStr">
        <is>
          <t>power</t>
        </is>
      </c>
    </row>
    <row r="130" ht="15" customHeight="1" s="5">
      <c r="A130" s="7" t="inlineStr">
        <is>
          <t>TP1</t>
        </is>
      </c>
      <c r="B130" s="7" t="inlineStr">
        <is>
          <t>TP1</t>
        </is>
      </c>
      <c r="C130" s="7" t="inlineStr">
        <is>
          <t>power</t>
        </is>
      </c>
    </row>
    <row r="131" ht="15" customHeight="1" s="5">
      <c r="A131" s="7" t="inlineStr">
        <is>
          <t>TP2</t>
        </is>
      </c>
      <c r="B131" s="7" t="inlineStr">
        <is>
          <t>TP2</t>
        </is>
      </c>
      <c r="C131" s="7" t="inlineStr">
        <is>
          <t>power</t>
        </is>
      </c>
    </row>
    <row r="132" ht="15" customHeight="1" s="5">
      <c r="A132" s="7" t="inlineStr">
        <is>
          <t>TP3</t>
        </is>
      </c>
      <c r="B132" s="7" t="inlineStr">
        <is>
          <t>TP3</t>
        </is>
      </c>
      <c r="C132" s="7" t="inlineStr">
        <is>
          <t>power</t>
        </is>
      </c>
    </row>
    <row r="133" ht="15" customHeight="1" s="5">
      <c r="A133" s="7" t="inlineStr">
        <is>
          <t>TP4</t>
        </is>
      </c>
      <c r="B133" s="7" t="inlineStr">
        <is>
          <t>TP4</t>
        </is>
      </c>
      <c r="C133" s="7" t="inlineStr">
        <is>
          <t>power</t>
        </is>
      </c>
    </row>
    <row r="134" ht="15" customHeight="1" s="5">
      <c r="A134" s="7" t="inlineStr">
        <is>
          <t>TP5</t>
        </is>
      </c>
      <c r="B134" s="7" t="inlineStr">
        <is>
          <t>TP5</t>
        </is>
      </c>
      <c r="C134" s="7" t="inlineStr">
        <is>
          <t>power</t>
        </is>
      </c>
    </row>
    <row r="135" ht="15" customHeight="1" s="5">
      <c r="A135" s="7" t="inlineStr">
        <is>
          <t>U4</t>
        </is>
      </c>
      <c r="B135" s="7" t="inlineStr">
        <is>
          <t>U2</t>
        </is>
      </c>
      <c r="C135" s="7" t="inlineStr">
        <is>
          <t>power</t>
        </is>
      </c>
    </row>
    <row r="136" ht="15" customHeight="1" s="5">
      <c r="A136" s="7" t="inlineStr">
        <is>
          <t>(new part)</t>
        </is>
      </c>
      <c r="B136" s="7" t="inlineStr">
        <is>
          <t>U3</t>
        </is>
      </c>
      <c r="C136" s="7" t="inlineStr">
        <is>
          <t>power</t>
        </is>
      </c>
    </row>
    <row r="137" ht="15" customHeight="1" s="5">
      <c r="A137" s="7" t="inlineStr">
        <is>
          <t>U5</t>
        </is>
      </c>
      <c r="B137" s="7" t="inlineStr">
        <is>
          <t>U4</t>
        </is>
      </c>
      <c r="C137" s="7" t="inlineStr">
        <is>
          <t>power</t>
        </is>
      </c>
    </row>
    <row r="138" ht="15" customHeight="1" s="5">
      <c r="A138" s="7" t="inlineStr">
        <is>
          <t>J4</t>
        </is>
      </c>
      <c r="B138" s="7" t="inlineStr">
        <is>
          <t>J5</t>
        </is>
      </c>
      <c r="C138" s="7" t="inlineStr">
        <is>
          <t>sd</t>
        </is>
      </c>
    </row>
    <row r="139" ht="15" customHeight="1" s="5">
      <c r="A139" s="7" t="inlineStr">
        <is>
          <t>R33</t>
        </is>
      </c>
      <c r="B139" s="7" t="inlineStr">
        <is>
          <t>R28</t>
        </is>
      </c>
      <c r="C139" s="7" t="inlineStr">
        <is>
          <t>sd</t>
        </is>
      </c>
    </row>
    <row r="140" ht="15" customHeight="1" s="5">
      <c r="A140" s="7" t="inlineStr">
        <is>
          <t>R32</t>
        </is>
      </c>
      <c r="B140" s="7" t="inlineStr">
        <is>
          <t>R29</t>
        </is>
      </c>
      <c r="C140" s="7" t="inlineStr">
        <is>
          <t>sd</t>
        </is>
      </c>
    </row>
    <row r="141" ht="15" customHeight="1" s="5">
      <c r="A141" s="7" t="inlineStr">
        <is>
          <t>R34</t>
        </is>
      </c>
      <c r="B141" s="7" t="inlineStr">
        <is>
          <t>R30</t>
        </is>
      </c>
      <c r="C141" s="7" t="inlineStr">
        <is>
          <t>sd</t>
        </is>
      </c>
    </row>
    <row r="142" ht="15" customHeight="1" s="5">
      <c r="A142" s="7" t="inlineStr">
        <is>
          <t>R35</t>
        </is>
      </c>
      <c r="B142" s="7" t="inlineStr">
        <is>
          <t>R31</t>
        </is>
      </c>
      <c r="C142" s="7" t="inlineStr">
        <is>
          <t>sd</t>
        </is>
      </c>
    </row>
    <row r="143" ht="15" customHeight="1" s="5">
      <c r="A143" s="7" t="inlineStr">
        <is>
          <t>R27</t>
        </is>
      </c>
      <c r="B143" s="7" t="inlineStr">
        <is>
          <t>R32</t>
        </is>
      </c>
      <c r="C143" s="7" t="inlineStr">
        <is>
          <t>sd</t>
        </is>
      </c>
    </row>
    <row r="144" ht="15" customHeight="1" s="5">
      <c r="A144" s="7" t="inlineStr">
        <is>
          <t>R28</t>
        </is>
      </c>
      <c r="B144" s="7" t="inlineStr">
        <is>
          <t>R33</t>
        </is>
      </c>
      <c r="C144" s="7" t="inlineStr">
        <is>
          <t>sd</t>
        </is>
      </c>
    </row>
    <row r="145" ht="15" customHeight="1" s="5">
      <c r="A145" s="7" t="inlineStr">
        <is>
          <t>R29</t>
        </is>
      </c>
      <c r="B145" s="7" t="inlineStr">
        <is>
          <t>R34</t>
        </is>
      </c>
      <c r="C145" s="7" t="inlineStr">
        <is>
          <t>sd</t>
        </is>
      </c>
    </row>
    <row r="146" ht="15" customHeight="1" s="5">
      <c r="A146" s="7" t="inlineStr">
        <is>
          <t>R30</t>
        </is>
      </c>
      <c r="B146" s="7" t="inlineStr">
        <is>
          <t>R35</t>
        </is>
      </c>
      <c r="C146" s="7" t="inlineStr">
        <is>
          <t>sd</t>
        </is>
      </c>
    </row>
    <row r="147" ht="15" customHeight="1" s="5">
      <c r="A147" s="7" t="inlineStr">
        <is>
          <t>R31</t>
        </is>
      </c>
      <c r="B147" s="7" t="inlineStr">
        <is>
          <t>R36</t>
        </is>
      </c>
      <c r="C147" s="7" t="inlineStr">
        <is>
          <t>sd</t>
        </is>
      </c>
    </row>
    <row r="148" ht="15" customHeight="1" s="5">
      <c r="A148" s="7" t="inlineStr">
        <is>
          <t>AE1</t>
        </is>
      </c>
      <c r="B148" s="7" t="inlineStr">
        <is>
          <t>AE1</t>
        </is>
      </c>
      <c r="C148" s="7" t="inlineStr">
        <is>
          <t>sensors</t>
        </is>
      </c>
    </row>
    <row r="149" ht="15" customHeight="1" s="5">
      <c r="A149" s="7" t="inlineStr">
        <is>
          <t>C36</t>
        </is>
      </c>
      <c r="B149" s="7" t="inlineStr">
        <is>
          <t>C25</t>
        </is>
      </c>
      <c r="C149" s="7" t="inlineStr">
        <is>
          <t>sensors</t>
        </is>
      </c>
    </row>
    <row r="150" ht="15" customHeight="1" s="5">
      <c r="A150" s="7" t="inlineStr">
        <is>
          <t>C31</t>
        </is>
      </c>
      <c r="B150" s="7" t="inlineStr">
        <is>
          <t>C26</t>
        </is>
      </c>
      <c r="C150" s="7" t="inlineStr">
        <is>
          <t>sensors</t>
        </is>
      </c>
    </row>
    <row r="151" ht="15" customHeight="1" s="5">
      <c r="A151" s="7" t="inlineStr">
        <is>
          <t>C27</t>
        </is>
      </c>
      <c r="B151" s="7" t="inlineStr">
        <is>
          <t>C27</t>
        </is>
      </c>
      <c r="C151" s="7" t="inlineStr">
        <is>
          <t>sensors</t>
        </is>
      </c>
    </row>
    <row r="152" ht="15" customHeight="1" s="5">
      <c r="A152" s="7" t="inlineStr">
        <is>
          <t>C32</t>
        </is>
      </c>
      <c r="B152" s="7" t="inlineStr">
        <is>
          <t>C28</t>
        </is>
      </c>
      <c r="C152" s="7" t="inlineStr">
        <is>
          <t>sensors</t>
        </is>
      </c>
    </row>
    <row r="153" ht="15" customHeight="1" s="5">
      <c r="A153" s="7" t="inlineStr">
        <is>
          <t>C35</t>
        </is>
      </c>
      <c r="B153" s="7" t="inlineStr">
        <is>
          <t>C29</t>
        </is>
      </c>
      <c r="C153" s="7" t="inlineStr">
        <is>
          <t>sensors</t>
        </is>
      </c>
    </row>
    <row r="154" ht="15" customHeight="1" s="5">
      <c r="A154" s="7" t="inlineStr">
        <is>
          <t>C29</t>
        </is>
      </c>
      <c r="B154" s="7" t="inlineStr">
        <is>
          <t>C30</t>
        </is>
      </c>
      <c r="C154" s="7" t="inlineStr">
        <is>
          <t>sensors</t>
        </is>
      </c>
    </row>
    <row r="155" ht="15" customHeight="1" s="5">
      <c r="A155" s="7" t="inlineStr">
        <is>
          <t>C33</t>
        </is>
      </c>
      <c r="B155" s="7" t="inlineStr">
        <is>
          <t>C31</t>
        </is>
      </c>
      <c r="C155" s="7" t="inlineStr">
        <is>
          <t>sensors</t>
        </is>
      </c>
    </row>
    <row r="156" ht="15" customHeight="1" s="5">
      <c r="A156" s="7" t="inlineStr">
        <is>
          <t>C34</t>
        </is>
      </c>
      <c r="B156" s="7" t="inlineStr">
        <is>
          <t>C32</t>
        </is>
      </c>
      <c r="C156" s="7" t="inlineStr">
        <is>
          <t>sensors</t>
        </is>
      </c>
    </row>
    <row r="157" ht="15" customHeight="1" s="5">
      <c r="A157" s="7" t="inlineStr">
        <is>
          <t>C28</t>
        </is>
      </c>
      <c r="B157" s="7" t="inlineStr">
        <is>
          <t>C33</t>
        </is>
      </c>
      <c r="C157" s="7" t="inlineStr">
        <is>
          <t>sensors</t>
        </is>
      </c>
    </row>
    <row r="158" ht="15" customHeight="1" s="5">
      <c r="A158" s="7" t="inlineStr">
        <is>
          <t>C30</t>
        </is>
      </c>
      <c r="B158" s="7" t="inlineStr">
        <is>
          <t>C34</t>
        </is>
      </c>
      <c r="C158" s="7" t="inlineStr">
        <is>
          <t>sensors</t>
        </is>
      </c>
    </row>
    <row r="159" ht="15" customHeight="1" s="5">
      <c r="A159" s="7" t="inlineStr">
        <is>
          <t>FL1</t>
        </is>
      </c>
      <c r="B159" s="7" t="inlineStr">
        <is>
          <t>FL1</t>
        </is>
      </c>
      <c r="C159" s="7" t="inlineStr">
        <is>
          <t>sensors</t>
        </is>
      </c>
    </row>
    <row r="160" ht="15" customHeight="1" s="5">
      <c r="A160" s="7" t="inlineStr">
        <is>
          <t>R17</t>
        </is>
      </c>
      <c r="B160" s="7" t="inlineStr">
        <is>
          <t>R16</t>
        </is>
      </c>
      <c r="C160" s="7" t="inlineStr">
        <is>
          <t>sensors</t>
        </is>
      </c>
    </row>
    <row r="161" ht="15" customHeight="1" s="5">
      <c r="A161" s="7" t="inlineStr">
        <is>
          <t>R18</t>
        </is>
      </c>
      <c r="B161" s="7" t="inlineStr">
        <is>
          <t>R17</t>
        </is>
      </c>
      <c r="C161" s="7" t="inlineStr">
        <is>
          <t>sensors</t>
        </is>
      </c>
    </row>
    <row r="162" ht="15" customHeight="1" s="5">
      <c r="A162" s="7" t="inlineStr">
        <is>
          <t>R16</t>
        </is>
      </c>
      <c r="B162" s="7" t="inlineStr">
        <is>
          <t>R18</t>
        </is>
      </c>
      <c r="C162" s="7" t="inlineStr">
        <is>
          <t>sensors</t>
        </is>
      </c>
    </row>
    <row r="163" ht="15" customHeight="1" s="5">
      <c r="A163" s="7" t="inlineStr">
        <is>
          <t>U8</t>
        </is>
      </c>
      <c r="B163" s="7" t="inlineStr">
        <is>
          <t>U5</t>
        </is>
      </c>
      <c r="C163" s="7" t="inlineStr">
        <is>
          <t>sensors</t>
        </is>
      </c>
    </row>
    <row r="164" ht="15" customHeight="1" s="5">
      <c r="A164" s="7" t="inlineStr">
        <is>
          <t>U10</t>
        </is>
      </c>
      <c r="B164" s="7" t="inlineStr">
        <is>
          <t>U6</t>
        </is>
      </c>
      <c r="C164" s="7" t="inlineStr">
        <is>
          <t>sensors</t>
        </is>
      </c>
    </row>
    <row r="165" ht="15" customHeight="1" s="5">
      <c r="A165" s="7" t="inlineStr">
        <is>
          <t>U6</t>
        </is>
      </c>
      <c r="B165" s="7" t="inlineStr">
        <is>
          <t>U7</t>
        </is>
      </c>
      <c r="C165" s="7" t="inlineStr">
        <is>
          <t>sensors</t>
        </is>
      </c>
    </row>
    <row r="166" ht="15" customHeight="1" s="5">
      <c r="A166" s="7" t="inlineStr">
        <is>
          <t>U7</t>
        </is>
      </c>
      <c r="B166" s="7" t="inlineStr">
        <is>
          <t>U8</t>
        </is>
      </c>
      <c r="C166" s="7" t="inlineStr">
        <is>
          <t>sensors</t>
        </is>
      </c>
    </row>
    <row r="167" ht="15" customHeight="1" s="5">
      <c r="A167" s="7" t="inlineStr">
        <is>
          <t>U9</t>
        </is>
      </c>
      <c r="B167" s="7" t="inlineStr">
        <is>
          <t>U9</t>
        </is>
      </c>
      <c r="C167" s="7" t="inlineStr">
        <is>
          <t>sensors</t>
        </is>
      </c>
    </row>
    <row r="168" ht="15" customHeight="1" s="5">
      <c r="A168" s="7" t="inlineStr">
        <is>
          <t>J1</t>
        </is>
      </c>
      <c r="B168" s="7" t="inlineStr">
        <is>
          <t>J1</t>
        </is>
      </c>
      <c r="C168" s="7" t="inlineStr">
        <is>
          <t>swd</t>
        </is>
      </c>
    </row>
    <row r="169" ht="15" customHeight="1" s="5">
      <c r="A169" s="7" t="inlineStr">
        <is>
          <t>R4</t>
        </is>
      </c>
      <c r="B169" s="7" t="inlineStr">
        <is>
          <t>R4</t>
        </is>
      </c>
      <c r="C169" s="7" t="inlineStr">
        <is>
          <t>swd</t>
        </is>
      </c>
    </row>
    <row r="170" ht="15" customHeight="1" s="5">
      <c r="A170" s="7" t="inlineStr">
        <is>
          <t>U2</t>
        </is>
      </c>
      <c r="B170" s="7" t="inlineStr">
        <is>
          <t>(deleted)</t>
        </is>
      </c>
      <c r="C170" s="7" t="inlineStr">
        <is>
          <t>power: LMR51430 buck</t>
        </is>
      </c>
    </row>
    <row r="171" ht="15" customHeight="1" s="5">
      <c r="A171" s="7" t="inlineStr">
        <is>
          <t>L1</t>
        </is>
      </c>
      <c r="B171" s="7" t="inlineStr">
        <is>
          <t>(deleted)</t>
        </is>
      </c>
      <c r="C171" s="7" t="inlineStr">
        <is>
          <t>power: 5.6uH buck inductor</t>
        </is>
      </c>
    </row>
    <row r="172" ht="15" customHeight="1" s="5">
      <c r="A172" s="7" t="inlineStr">
        <is>
          <t>C18</t>
        </is>
      </c>
      <c r="B172" s="7" t="inlineStr">
        <is>
          <t>(deleted)</t>
        </is>
      </c>
      <c r="C172" s="7" t="inlineStr">
        <is>
          <t>power: buck CBOOT</t>
        </is>
      </c>
    </row>
    <row r="173" ht="15" customHeight="1" s="5">
      <c r="A173" s="7" t="inlineStr">
        <is>
          <t>C21</t>
        </is>
      </c>
      <c r="B173" s="7" t="inlineStr">
        <is>
          <t>(deleted)</t>
        </is>
      </c>
      <c r="C173" s="7" t="inlineStr">
        <is>
          <t>power: buck CIN 10u/50V</t>
        </is>
      </c>
    </row>
    <row r="174" ht="15" customHeight="1" s="5">
      <c r="A174" s="7" t="inlineStr">
        <is>
          <t>C22</t>
        </is>
      </c>
      <c r="B174" s="7" t="inlineStr">
        <is>
          <t>(deleted)</t>
        </is>
      </c>
      <c r="C174" s="7" t="inlineStr">
        <is>
          <t>power: buck CIN 100n</t>
        </is>
      </c>
    </row>
    <row r="175" ht="15" customHeight="1" s="5">
      <c r="A175" s="7" t="inlineStr">
        <is>
          <t>C23</t>
        </is>
      </c>
      <c r="B175" s="7" t="inlineStr">
        <is>
          <t>(deleted)</t>
        </is>
      </c>
      <c r="C175" s="7" t="inlineStr">
        <is>
          <t>power: buck COUT 100u</t>
        </is>
      </c>
    </row>
    <row r="176" ht="15" customHeight="1" s="5">
      <c r="A176" s="7" t="inlineStr">
        <is>
          <t>R8</t>
        </is>
      </c>
      <c r="B176" s="7" t="inlineStr">
        <is>
          <t>(deleted)</t>
        </is>
      </c>
      <c r="C176" s="7" t="inlineStr">
        <is>
          <t>power: buck FB 100k</t>
        </is>
      </c>
    </row>
    <row r="177" ht="15" customHeight="1" s="5">
      <c r="A177" s="7" t="inlineStr">
        <is>
          <t>R9</t>
        </is>
      </c>
      <c r="B177" s="7" t="inlineStr">
        <is>
          <t>(deleted)</t>
        </is>
      </c>
      <c r="C177" s="7" t="inlineStr">
        <is>
          <t>power: buck FB 22k1</t>
        </is>
      </c>
    </row>
    <row r="178" ht="15" customHeight="1" s="5">
      <c r="A178" s="7" t="inlineStr">
        <is>
          <t>U3</t>
        </is>
      </c>
      <c r="B178" s="7" t="inlineStr">
        <is>
          <t>(deleted)</t>
        </is>
      </c>
      <c r="C178" s="7" t="inlineStr">
        <is>
          <t>power: AMS1117-3.3</t>
        </is>
      </c>
    </row>
    <row r="179" ht="15" customHeight="1" s="5">
      <c r="A179" s="7" t="inlineStr">
        <is>
          <t>C20</t>
        </is>
      </c>
      <c r="B179" s="7" t="inlineStr">
        <is>
          <t>(deleted)</t>
        </is>
      </c>
      <c r="C179" s="7" t="inlineStr">
        <is>
          <t>power: AMS1117 22u tantalum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2026-10-07T10:16:24Z</dcterms:created>
  <dcterms:modified xmlns:dcterms="http://purl.org/dc/terms/" xmlns:xsi="http://www.w3.org/2001/XMLSchema-instance" xsi:type="dcterms:W3CDTF">2026-10-07T10:16:24Z</dcterms:modified>
</cp:coreProperties>
</file>
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ecd210f5ca94116" /></Relationships>
</file>

<file path=xl/workbook.xml><?xml version="1.0" encoding="utf-8"?>
<x:workbook xmlns:x="http://schemas.openxmlformats.org/spreadsheetml/2006/main">
  <x:sheets>
    <x:sheet xmlns:r="http://schemas.openxmlformats.org/officeDocument/2006/relationships" name="BOM" sheetId="1" r:id="R6c2aa78dd4e443a7"/>
    <x:sheet xmlns:r="http://schemas.openxmlformats.org/officeDocument/2006/relationships" name="JLC_BOM" sheetId="2" r:id="Ra8dcda40060745a2"/>
    <x:sheet xmlns:r="http://schemas.openxmlformats.org/officeDocument/2006/relationships" name="Hand assembly &amp; loose" sheetId="3" r:id="R8a2049b5f2e0457b"/>
    <x:sheet xmlns:r="http://schemas.openxmlformats.org/officeDocument/2006/relationships" name="Changes" sheetId="4" r:id="R854b8c5987a044d2"/>
    <x:sheet xmlns:r="http://schemas.openxmlformats.org/officeDocument/2006/relationships" name="Open items" sheetId="5" r:id="R81e8027c2ccf402e"/>
    <x:sheet xmlns:r="http://schemas.openxmlformats.org/officeDocument/2006/relationships" name="Ref map" sheetId="6" r:id="R494fa209d22f46db"/>
  </x:sheets>
</x:workbook>
</file>

<file path=xl/sharedStrings.xml><?xml version="1.0" encoding="utf-8"?>
<x:sst xmlns:x="http://schemas.openxmlformats.org/spreadsheetml/2006/main">
  <x:si>
    <x:t xml:space="preserve">Designators</x:t>
  </x:si>
  <x:si>
    <x:t xml:space="preserve">Qty</x:t>
  </x:si>
  <x:si>
    <x:t xml:space="preserve">Value</x:t>
  </x:si>
  <x:si>
    <x:t xml:space="preserve">Footprint</x:t>
  </x:si>
  <x:si>
    <x:t xml:space="preserve">LCSC Part</x:t>
  </x:si>
  <x:si>
    <x:t xml:space="preserve">MPN</x:t>
  </x:si>
  <x:si>
    <x:t xml:space="preserve">Manufacturer</x:t>
  </x:si>
  <x:si>
    <x:t xml:space="preserve">Voltage</x:t>
  </x:si>
  <x:si>
    <x:t xml:space="preserve">Dielectric</x:t>
  </x:si>
  <x:si>
    <x:t xml:space="preserve">Tolerance</x:t>
  </x:si>
  <x:si>
    <x:t xml:space="preserve">ESR / DCR</x:t>
  </x:si>
  <x:si>
    <x:t xml:space="preserve">Power</x:t>
  </x:si>
  <x:si>
    <x:t xml:space="preserve">JLC library</x:t>
  </x:si>
  <x:si>
    <x:t xml:space="preserve">JLC stock (checked 2026-10-02 / 10-06)</x:t>
  </x:si>
  <x:si>
    <x:t xml:space="preserve">Assembly</x:t>
  </x:si>
  <x:si>
    <x:t xml:space="preserve">Side</x:t>
  </x:si>
  <x:si>
    <x:t xml:space="preserve">Sheet</x:t>
  </x:si>
  <x:si>
    <x:t xml:space="preserve">Notes / datasheet check</x:t>
  </x:si>
  <x:si>
    <x:t xml:space="preserve">BZ1</x:t>
  </x:si>
  <x:si>
    <x:t xml:space="preserve">HNB09A03</x:t>
  </x:si>
  <x:si>
    <x:t xml:space="preserve">BUZ-TH_BD9.0-P5.00-D0.6-FD</x:t>
  </x:si>
  <x:si>
    <x:t xml:space="preserve">C96102</x:t>
  </x:si>
  <x:si>
    <x:t xml:space="preserve">Huaneng</x:t>
  </x:si>
  <x:si>
    <x:t xml:space="preserve">Extended</x:t>
  </x:si>
  <x:si>
    <x:t xml:space="preserve">JLC THT</x:t>
  </x:si>
  <x:si>
    <x:t xml:space="preserve">Top</x:t>
  </x:si>
  <x:si>
    <x:t xml:space="preserve">indicators</x:t>
  </x:si>
  <x:si>
    <x:t xml:space="preserve">Active buzzer (internal oscillator): drive it on/off. PWM is only useful for beep patterns</x:t>
  </x:si>
  <x:si>
    <x:t xml:space="preserve">C1</x:t>
  </x:si>
  <x:si>
    <x:t xml:space="preserve">4u7</x:t>
  </x:si>
  <x:si>
    <x:t xml:space="preserve">C_0805_2012Metric</x:t>
  </x:si>
  <x:si>
    <x:t xml:space="preserve">C98195</x:t>
  </x:si>
  <x:si>
    <x:t xml:space="preserve">CL21B475KAFNNNE</x:t>
  </x:si>
  <x:si>
    <x:t xml:space="preserve">Samsung Electro-Mechanics</x:t>
  </x:si>
  <x:si>
    <x:t xml:space="preserve">25V</x:t>
  </x:si>
  <x:si>
    <x:t xml:space="preserve">X7R</x:t>
  </x:si>
  <x:si>
    <x:t xml:space="preserve">10%</x:t>
  </x:si>
  <x:si>
    <x:t xml:space="preserve">JLC SMT</x:t>
  </x:si>
  <x:si>
    <x:t xml:space="preserve">mcu</x:t>
  </x:si>
  <x:si>
    <x:t xml:space="preserve">STM32G474 DS12288 Fig.16: VDD n x 100nF + 1 x 4.7uF</x:t>
  </x:si>
  <x:si>
    <x:t xml:space="preserve">C2, C3, C4, C5, C7, C8, C9, C25, C26, C27, C29, C30, C31, C33, C35, C38, C43, C44</x:t>
  </x:si>
  <x:si>
    <x:t xml:space="preserve">100n</x:t>
  </x:si>
  <x:si>
    <x:t xml:space="preserve">C_0402_1005Metric</x:t>
  </x:si>
  <x:si>
    <x:t xml:space="preserve">C1525</x:t>
  </x:si>
  <x:si>
    <x:t xml:space="preserve">CL05B104KO5NNNC</x:t>
  </x:si>
  <x:si>
    <x:t xml:space="preserve">16V</x:t>
  </x:si>
  <x:si>
    <x:t xml:space="preserve">Basic</x:t>
  </x:si>
  <x:si>
    <x:t xml:space="preserve">ADXL345 DS: 0.1uF ceramic at VDD I/O; ADXL375 DS: 0.1uF ceramic at VDD I/O; Ra-01H supply decoupling (TX burst ~120mA); place at module pin 3; STM32G474 DS12288 Fig.16: VREF+ 100nF + 1uF</x:t>
  </x:si>
  <x:si>
    <x:t xml:space="preserve">C6, C11, C12</x:t>
  </x:si>
  <x:si>
    <x:t xml:space="preserve">1u</x:t>
  </x:si>
  <x:si>
    <x:t xml:space="preserve">C_0603_1608Metric</x:t>
  </x:si>
  <x:si>
    <x:t xml:space="preserve">C29936</x:t>
  </x:si>
  <x:si>
    <x:t xml:space="preserve">CL10B105KA8NNNC</x:t>
  </x:si>
  <x:si>
    <x:t xml:space="preserve">STM32G474 DS12288 Fig.16: VDDA 1uF; STM32G474 DS12288 Fig.16: VREF+ 100nF + 1uF</x:t>
  </x:si>
  <x:si>
    <x:t xml:space="preserve">C10</x:t>
  </x:si>
  <x:si>
    <x:t xml:space="preserve">10n</x:t>
  </x:si>
  <x:si>
    <x:t xml:space="preserve">C15195</x:t>
  </x:si>
  <x:si>
    <x:t xml:space="preserve">CL05B103KB5NNNC</x:t>
  </x:si>
  <x:si>
    <x:t xml:space="preserve">50V</x:t>
  </x:si>
  <x:si>
    <x:t xml:space="preserve">STM32G474 DS12288 Fig.16: VDDA = 10nF + 1uF (was 100nF)</x:t>
  </x:si>
  <x:si>
    <x:t xml:space="preserve">C13, C15</x:t>
  </x:si>
  <x:si>
    <x:t xml:space="preserve">15p</x:t>
  </x:si>
  <x:si>
    <x:t xml:space="preserve">C1548</x:t>
  </x:si>
  <x:si>
    <x:t xml:space="preserve">0402CG150J500NT</x:t>
  </x:si>
  <x:si>
    <x:t xml:space="preserve">FH (Guangdong Fenghua)</x:t>
  </x:si>
  <x:si>
    <x:t xml:space="preserve">C0G</x:t>
  </x:si>
  <x:si>
    <x:t xml:space="preserve">5%</x:t>
  </x:si>
  <x:si>
    <x:t xml:space="preserve">HSE load cap, 12pF crystal: 2 x (12pF - ~4.5pF stray) = ~15pF</x:t>
  </x:si>
  <x:si>
    <x:t xml:space="preserve">C14</x:t>
  </x:si>
  <x:si>
    <x:t xml:space="preserve">C14663</x:t>
  </x:si>
  <x:si>
    <x:t xml:space="preserve">CC0603KRX7R9BB104</x:t>
  </x:si>
  <x:si>
    <x:t xml:space="preserve">YAGEO</x:t>
  </x:si>
  <x:si>
    <x:t xml:space="preserve">C16, C17</x:t>
  </x:si>
  <x:si>
    <x:t xml:space="preserve">4.7p</x:t>
  </x:si>
  <x:si>
    <x:t xml:space="preserve">C1569</x:t>
  </x:si>
  <x:si>
    <x:t xml:space="preserve">0402CG4R7C500NT</x:t>
  </x:si>
  <x:si>
    <x:t xml:space="preserve">0.25pF</x:t>
  </x:si>
  <x:si>
    <x:t xml:space="preserve">Extended (preferred)</x:t>
  </x:si>
  <x:si>
    <x:t xml:space="preserve">LSE load cap for 6pF crystal: CL = C/2 + Cs (Cs ~3.5-4pF)</x:t>
  </x:si>
  <x:si>
    <x:t xml:space="preserve">C18, C19, C37</x:t>
  </x:si>
  <x:si>
    <x:t xml:space="preserve">10u</x:t>
  </x:si>
  <x:si>
    <x:t xml:space="preserve">C15850</x:t>
  </x:si>
  <x:si>
    <x:t xml:space="preserve">CL21A106KAYNNNE</x:t>
  </x:si>
  <x:si>
    <x:t xml:space="preserve">X5R</x:t>
  </x:si>
  <x:si>
    <x:t xml:space="preserve">power</x:t>
  </x:si>
  <x:si>
    <x:t xml:space="preserve">Ra-01H supply decoupling (TX burst ~120mA); place at module pin 3; TPS63802 CIN: 10uF X5R/X7R at VIN-GND (DS 10.2.2.4). 25V 0805 keeps &gt;5uF at 5V bias.; USB 2.0 allows at most 10uF on VBUS at attach (was 22uF)</x:t>
  </x:si>
  <x:si>
    <x:t xml:space="preserve">C20, C21</x:t>
  </x:si>
  <x:si>
    <x:t xml:space="preserve">C52923</x:t>
  </x:si>
  <x:si>
    <x:t xml:space="preserve">CL05A105KA5NQNC</x:t>
  </x:si>
  <x:si>
    <x:t xml:space="preserve">TPS2116 VIN1 (VBUS) bypass; TPS2116 VIN2 (+VBAT) bypass</x:t>
  </x:si>
  <x:si>
    <x:t xml:space="preserve">C22, C23, C36</x:t>
  </x:si>
  <x:si>
    <x:t xml:space="preserve">22u</x:t>
  </x:si>
  <x:si>
    <x:t xml:space="preserve">C45783</x:t>
  </x:si>
  <x:si>
    <x:t xml:space="preserve">CL21A226MAQNNNE</x:t>
  </x:si>
  <x:si>
    <x:t xml:space="preserve">20%</x:t>
  </x:si>
  <x:si>
    <x:t xml:space="preserve">TPS63802 COUT (DS 10.2.2.3: 22uF nominal, effective &gt;= 10uF after DC bias). Two 0805 25V parts give ~24uF effective at 3.3V.</x:t>
  </x:si>
  <x:si>
    <x:t xml:space="preserve">C24</x:t>
  </x:si>
  <x:si>
    <x:t xml:space="preserve">100u</x:t>
  </x:si>
  <x:si>
    <x:t xml:space="preserve">C_1206_3216Metric</x:t>
  </x:si>
  <x:si>
    <x:t xml:space="preserve">C15008</x:t>
  </x:si>
  <x:si>
    <x:t xml:space="preserve">CL31A107MQHNNNE</x:t>
  </x:si>
  <x:si>
    <x:t xml:space="preserve">6.3V</x:t>
  </x:si>
  <x:si>
    <x:t xml:space="preserve">TPS2116 DS 7.3.4: bulk on VOUT (VSYS) rides through the break-before-make switchover. Also the TPS63802 input bulk.</x:t>
  </x:si>
  <x:si>
    <x:t xml:space="preserve">C28</x:t>
  </x:si>
  <x:si>
    <x:t xml:space="preserve">C19702</x:t>
  </x:si>
  <x:si>
    <x:t xml:space="preserve">CL10A106KP8NNNC</x:t>
  </x:si>
  <x:si>
    <x:t xml:space="preserve">10V</x:t>
  </x:si>
  <x:si>
    <x:t xml:space="preserve">sensors</x:t>
  </x:si>
  <x:si>
    <x:t xml:space="preserve">C32, C34</x:t>
  </x:si>
  <x:si>
    <x:t xml:space="preserve">CP_EIA-2012-12_Kemet-R</x:t>
  </x:si>
  <x:si>
    <x:t xml:space="preserve">C444768</x:t>
  </x:si>
  <x:si>
    <x:t xml:space="preserve">TAJR105K010RNJ</x:t>
  </x:si>
  <x:si>
    <x:t xml:space="preserve">Kyocera AVX</x:t>
  </x:si>
  <x:si>
    <x:t xml:space="preserve">Tantalum (MnO2)</x:t>
  </x:si>
  <x:si>
    <x:t xml:space="preserve">25R @100kHz</x:t>
  </x:si>
  <x:si>
    <x:t xml:space="preserve">ADXL345 DS p.28: 1uF tantalum at VS; ADXL375 DS: 1uF tantalum at VS</x:t>
  </x:si>
  <x:si>
    <x:t xml:space="preserve">C39, C40</x:t>
  </x:si>
  <x:si>
    <x:t xml:space="preserve">150n</x:t>
  </x:si>
  <x:si>
    <x:t xml:space="preserve">C513735</x:t>
  </x:si>
  <x:si>
    <x:t xml:space="preserve">CC0603KRX7R9BB154</x:t>
  </x:si>
  <x:si>
    <x:t xml:space="preserve">igniter</x:t>
  </x:si>
  <x:si>
    <x:t xml:space="preserve">PMOS gate slow-turn-on cap across +VBAT_ARM (gate-source): 50V part, &gt;10x margin</x:t>
  </x:si>
  <x:si>
    <x:t xml:space="preserve">C41, C42</x:t>
  </x:si>
  <x:si>
    <x:t xml:space="preserve">330u</x:t>
  </x:si>
  <x:si>
    <x:t xml:space="preserve">CP_Elec_8x10</x:t>
  </x:si>
  <x:si>
    <x:t xml:space="preserve">C970701</x:t>
  </x:si>
  <x:si>
    <x:t xml:space="preserve">RVT1E331M0810</x:t>
  </x:si>
  <x:si>
    <x:t xml:space="preserve">DMBJ</x:t>
  </x:si>
  <x:si>
    <x:t xml:space="preserve">Aluminum electrolytic</x:t>
  </x:si>
  <x:si>
    <x:t xml:space="preserve">not specified (standard 105C SMD Al-El)</x:t>
  </x:si>
  <x:si>
    <x:t xml:space="preserve">Igniter reservoir on +VBAT_ARM (1S, 4.2V max). 25V part kept (already on order list); 6.3V+ would do.</x:t>
  </x:si>
  <x:si>
    <x:t xml:space="preserve">C45</x:t>
  </x:si>
  <x:si>
    <x:t xml:space="preserve">47u</x:t>
  </x:si>
  <x:si>
    <x:t xml:space="preserve">C96123</x:t>
  </x:si>
  <x:si>
    <x:t xml:space="preserve">CL31A476MPHNNNE</x:t>
  </x:si>
  <x:si>
    <x:t xml:space="preserve">airlift</x:t>
  </x:si>
  <x:si>
    <x:t xml:space="preserve">Bulk for AirLift (ESP32) Wi-Fi TX current spikes. Place at U11 pin 1 (VIN) / pin 3 (GND). 10V 1206 keeps ~25uF at 3.3V.</x:t>
  </x:si>
  <x:si>
    <x:t xml:space="preserve">D1</x:t>
  </x:si>
  <x:si>
    <x:t xml:space="preserve">SMBJ5.0A</x:t>
  </x:si>
  <x:si>
    <x:t xml:space="preserve">SMB_L4.6-W3.6-LS5.3-RD</x:t>
  </x:si>
  <x:si>
    <x:t xml:space="preserve">C78423</x:t>
  </x:si>
  <x:si>
    <x:t xml:space="preserve">Brightking</x:t>
  </x:si>
  <x:si>
    <x:t xml:space="preserve">ESD / small-transient TVS only. Breakdown 6.4-7.07V is ABOVE the 6V abs max of U3/U4, so it does not protect them from a surge or a wrong (2S/3S) pack; a wrong pack makes it conduct continuously. Real over-voltage protection needs an OVP switch (open item).</x:t>
  </x:si>
  <x:si>
    <x:t xml:space="preserve">D2</x:t>
  </x:si>
  <x:si>
    <x:t xml:space="preserve">RS-3535MWAR-2JYJY-J</x:t>
  </x:si>
  <x:si>
    <x:t xml:space="preserve">LED-SMD_RS-3535MWAR-2JYJY-J</x:t>
  </x:si>
  <x:si>
    <x:t xml:space="preserve">C110402</x:t>
  </x:si>
  <x:si>
    <x:t xml:space="preserve">RS-3535MWAR</x:t>
  </x:si>
  <x:si>
    <x:t xml:space="preserve">NATIONSTAR</x:t>
  </x:si>
  <x:si>
    <x:t xml:space="preserve">RS-3535MWAR common anode on +3V3. Resistors set from the datasheet V-I curve: R 270R, G 330R, B 100R</x:t>
  </x:si>
  <x:si>
    <x:t xml:space="preserve">D3</x:t>
  </x:si>
  <x:si>
    <x:t xml:space="preserve">STM LED</x:t>
  </x:si>
  <x:si>
    <x:t xml:space="preserve">LED0805-R-RD</x:t>
  </x:si>
  <x:si>
    <x:t xml:space="preserve">C2296</x:t>
  </x:si>
  <x:si>
    <x:t xml:space="preserve">KT-0805Y</x:t>
  </x:si>
  <x:si>
    <x:t xml:space="preserve">Hubei KENTO</x:t>
  </x:si>
  <x:si>
    <x:t xml:space="preserve">D4</x:t>
  </x:si>
  <x:si>
    <x:t xml:space="preserve">3V3 LED</x:t>
  </x:si>
  <x:si>
    <x:t xml:space="preserve">D5</x:t>
  </x:si>
  <x:si>
    <x:t xml:space="preserve">USB LED</x:t>
  </x:si>
  <x:si>
    <x:t xml:space="preserve">D6</x:t>
  </x:si>
  <x:si>
    <x:t xml:space="preserve">ARM LED</x:t>
  </x:si>
  <x:si>
    <x:t xml:space="preserve">D7, D8</x:t>
  </x:si>
  <x:si>
    <x:t xml:space="preserve">LED red</x:t>
  </x:si>
  <x:si>
    <x:t xml:space="preserve">LED_0603_1608Metric</x:t>
  </x:si>
  <x:si>
    <x:t xml:space="preserve">C2286</x:t>
  </x:si>
  <x:si>
    <x:t xml:space="preserve">KT-0603R</x:t>
  </x:si>
  <x:si>
    <x:t xml:space="preserve">D9, D10</x:t>
  </x:si>
  <x:si>
    <x:t xml:space="preserve">1N4148W</x:t>
  </x:si>
  <x:si>
    <x:t xml:space="preserve">D_SOD-123</x:t>
  </x:si>
  <x:si>
    <x:t xml:space="preserve">C81598</x:t>
  </x:si>
  <x:si>
    <x:t xml:space="preserve">ST(Semtech)</x:t>
  </x:si>
  <x:si>
    <x:t xml:space="preserve">F1, F2</x:t>
  </x:si>
  <x:si>
    <x:t xml:space="preserve">1812L150/24MR</x:t>
  </x:si>
  <x:si>
    <x:t xml:space="preserve">FUSE_1812L150&amp;slash_24_LTF</x:t>
  </x:si>
  <x:si>
    <x:t xml:space="preserve">C142805</x:t>
  </x:si>
  <x:si>
    <x:t xml:space="preserve">Littelfuse</x:t>
  </x:si>
  <x:si>
    <x:t xml:space="preserve">FB1</x:t>
  </x:si>
  <x:si>
    <x:t xml:space="preserve">100</x:t>
  </x:si>
  <x:si>
    <x:t xml:space="preserve">L_0805_2012Metric</x:t>
  </x:si>
  <x:si>
    <x:t xml:space="preserve">C1015</x:t>
  </x:si>
  <x:si>
    <x:t xml:space="preserve">GZ2012D101TF</x:t>
  </x:si>
  <x:si>
    <x:t xml:space="preserve">Sunlord</x:t>
  </x:si>
  <x:si>
    <x:t xml:space="preserve">FL1</x:t>
  </x:si>
  <x:si>
    <x:t xml:space="preserve">B39162B4300F210</x:t>
  </x:si>
  <x:si>
    <x:t xml:space="preserve">FILTER-SMD_5P-L1.4-W1.1_RSFPXXXXD</x:t>
  </x:si>
  <x:si>
    <x:t xml:space="preserve">C2650962</x:t>
  </x:si>
  <x:si>
    <x:t xml:space="preserve">Qualcomm (RF360)</x:t>
  </x:si>
  <x:si>
    <x:t xml:space="preserve">J1</x:t>
  </x:si>
  <x:si>
    <x:t xml:space="preserve">FTSH-107-STDC14</x:t>
  </x:si>
  <x:si>
    <x:t xml:space="preserve">STDC14_SAMTEC_FTSH-107-01-L-DV-K-A</x:t>
  </x:si>
  <x:si>
    <x:t xml:space="preserve">C5563894</x:t>
  </x:si>
  <x:si>
    <x:t xml:space="preserve">FTSH-107-01-L-DV-K-A</x:t>
  </x:si>
  <x:si>
    <x:t xml:space="preserve">Samtec</x:t>
  </x:si>
  <x:si>
    <x:t xml:space="preserve">swd</x:t>
  </x:si>
  <x:si>
    <x:t xml:space="preserve">J2</x:t>
  </x:si>
  <x:si>
    <x:t xml:space="preserve">Battery (ext.)</x:t>
  </x:si>
  <x:si>
    <x:t xml:space="preserve">JST_XH_B2B-XH-A_1x02_P2.50mm_Vertical</x:t>
  </x:si>
  <x:si>
    <x:t xml:space="preserve">C158012</x:t>
  </x:si>
  <x:si>
    <x:t xml:space="preserve">B2B-XH-A(LF)(SN)</x:t>
  </x:si>
  <x:si>
    <x:t xml:space="preserve">JST</x:t>
  </x:si>
  <x:si>
    <x:t xml:space="preserve">Hand-solder (bottom side)</x:t>
  </x:si>
  <x:si>
    <x:t xml:space="preserve">Bottom</x:t>
  </x:si>
  <x:si>
    <x:t xml:space="preserve">External 1S battery (+BATT pin 1 / GND pin 2), bottom side, hand-solder. JST XH: 3A per contact with AWG22. Mates XHP-2 + SXH-001T-P0.6. SW3 is also XH 2-pin: key or label the two harnesses so they cannot be swapped.</x:t>
  </x:si>
  <x:si>
    <x:t xml:space="preserve">J3</x:t>
  </x:si>
  <x:si>
    <x:t xml:space="preserve">USB_C_Receptacle_USB2.0_16P</x:t>
  </x:si>
  <x:si>
    <x:t xml:space="preserve">USB_C_Receptacle_HRO_TYPE-C-31-M-12</x:t>
  </x:si>
  <x:si>
    <x:t xml:space="preserve">C165948</x:t>
  </x:si>
  <x:si>
    <x:t xml:space="preserve">TYPE-C-31-M-12</x:t>
  </x:si>
  <x:si>
    <x:t xml:space="preserve">Korean Hroparts</x:t>
  </x:si>
  <x:si>
    <x:t xml:space="preserve">J4</x:t>
  </x:si>
  <x:si>
    <x:t xml:space="preserve">SMA</x:t>
  </x:si>
  <x:si>
    <x:t xml:space="preserve">SMA_BAT-Wireless_BWSMA-KE-Z001_Vertical</x:t>
  </x:si>
  <x:si>
    <x:t xml:space="preserve">C496549</x:t>
  </x:si>
  <x:si>
    <x:t xml:space="preserve">BWSMA-KE-Z001</x:t>
  </x:si>
  <x:si>
    <x:t xml:space="preserve">BAT WIRELESS</x:t>
  </x:si>
  <x:si>
    <x:t xml:space="preserve">lora</x:t>
  </x:si>
  <x:si>
    <x:t xml:space="preserve">50 ohm. Route ANT-SMA as a short 50R coplanar trace over solid GND.</x:t>
  </x:si>
  <x:si>
    <x:t xml:space="preserve">J5</x:t>
  </x:si>
  <x:si>
    <x:t xml:space="preserve">TF-102-15_SD_read</x:t>
  </x:si>
  <x:si>
    <x:t xml:space="preserve">TF-SMD_TF-102-15</x:t>
  </x:si>
  <x:si>
    <x:t xml:space="preserve">C266609</x:t>
  </x:si>
  <x:si>
    <x:t xml:space="preserve">TF-102-15</x:t>
  </x:si>
  <x:si>
    <x:t xml:space="preserve">XUNPU</x:t>
  </x:si>
  <x:si>
    <x:t xml:space="preserve">sd</x:t>
  </x:si>
  <x:si>
    <x:t xml:space="preserve">J6, J8</x:t>
  </x:si>
  <x:si>
    <x:t xml:space="preserve">StemmaQT</x:t>
  </x:si>
  <x:si>
    <x:t xml:space="preserve">C160390</x:t>
  </x:si>
  <x:si>
    <x:t xml:space="preserve">BM04B-SRSS-TB(LF)(SN)</x:t>
  </x:si>
  <x:si>
    <x:t xml:space="preserve">external</x:t>
  </x:si>
  <x:si>
    <x:t xml:space="preserve">J7</x:t>
  </x:si>
  <x:si>
    <x:t xml:space="preserve">Conn_01x04_Pin</x:t>
  </x:si>
  <x:si>
    <x:t xml:space="preserve">JST_GH_BM04B-GHS-TBT_1x04-1MP_P1.25mm_Vertical</x:t>
  </x:si>
  <x:si>
    <x:t xml:space="preserve">C161692</x:t>
  </x:si>
  <x:si>
    <x:t xml:space="preserve">BM04B-GHS-TBT(LF)(SN)</x:t>
  </x:si>
  <x:si>
    <x:t xml:space="preserve">J9</x:t>
  </x:si>
  <x:si>
    <x:t xml:space="preserve">GPIO_PE2-PE6</x:t>
  </x:si>
  <x:si>
    <x:t xml:space="preserve">PinHeader_1x07_P2.54mm_Vertical</x:t>
  </x:si>
  <x:si>
    <x:t xml:space="preserve">C492406</x:t>
  </x:si>
  <x:si>
    <x:t xml:space="preserve">PZ254V-11-07P</x:t>
  </x:si>
  <x:si>
    <x:t xml:space="preserve">XFCN</x:t>
  </x:si>
  <x:si>
    <x:t xml:space="preserve">J10</x:t>
  </x:si>
  <x:si>
    <x:t xml:space="preserve">GPIO_PE7-PE11</x:t>
  </x:si>
  <x:si>
    <x:t xml:space="preserve">J11</x:t>
  </x:si>
  <x:si>
    <x:t xml:space="preserve">USART3</x:t>
  </x:si>
  <x:si>
    <x:t xml:space="preserve">J12</x:t>
  </x:si>
  <x:si>
    <x:t xml:space="preserve">LPUART1</x:t>
  </x:si>
  <x:si>
    <x:t xml:space="preserve">J13</x:t>
  </x:si>
  <x:si>
    <x:t xml:space="preserve">J14</x:t>
  </x:si>
  <x:si>
    <x:t xml:space="preserve">L1</x:t>
  </x:si>
  <x:si>
    <x:t xml:space="preserve">0.47u</x:t>
  </x:si>
  <x:si>
    <x:t xml:space="preserve">L_Coilcraft_XxL4020</x:t>
  </x:si>
  <x:si>
    <x:t xml:space="preserve">C18221164</x:t>
  </x:si>
  <x:si>
    <x:t xml:space="preserve">XFL4015-471MEC</x:t>
  </x:si>
  <x:si>
    <x:t xml:space="preserve">Coilcraft</x:t>
  </x:si>
  <x:si>
    <x:t xml:space="preserve">7.6mR</x:t>
  </x:si>
  <x:si>
    <x:t xml:space="preserve">TI-recommended inductor (TPS63802 DS Table 10-2): 0.47uH, Isat 5.4A, 7.6mR, 4x4x1.5mm</x:t>
  </x:si>
  <x:si>
    <x:t xml:space="preserve">Q1, Q5, Q6</x:t>
  </x:si>
  <x:si>
    <x:t xml:space="preserve">DMP2022LSS-13</x:t>
  </x:si>
  <x:si>
    <x:t xml:space="preserve">SOIC-8_L4.9-W3.9-P1.27-LS6.0-BL</x:t>
  </x:si>
  <x:si>
    <x:t xml:space="preserve">C154919</x:t>
  </x:si>
  <x:si>
    <x:t xml:space="preserve">Diodes Incorporated</x:t>
  </x:si>
  <x:si>
    <x:t xml:space="preserve">High-side igniter PMOS. 1S: Vgs = -VBAT (3.0-4.2V), so Rds(on) must be specified at -2.5V (22mR). FDS6673BZ is specified from -4.5V.; Reverse-polarity PMOS. 1S: Vgs only -3.0 to -4.2V, so a part with Rds(on) specified at -2.5V (22mR) is needed. AO4407A is specified from -4.5V.</x:t>
  </x:si>
  <x:si>
    <x:t xml:space="preserve">Q2, Q3, Q4</x:t>
  </x:si>
  <x:si>
    <x:t xml:space="preserve">AO3400A</x:t>
  </x:si>
  <x:si>
    <x:t xml:space="preserve">SOT-23</x:t>
  </x:si>
  <x:si>
    <x:t xml:space="preserve">C20917</x:t>
  </x:si>
  <x:si>
    <x:t xml:space="preserve">AOS</x:t>
  </x:si>
  <x:si>
    <x:t xml:space="preserve">R1</x:t>
  </x:si>
  <x:si>
    <x:t xml:space="preserve">47</x:t>
  </x:si>
  <x:si>
    <x:t xml:space="preserve">R_0402_1005Metric</x:t>
  </x:si>
  <x:si>
    <x:t xml:space="preserve">C25118</x:t>
  </x:si>
  <x:si>
    <x:t xml:space="preserve">0402WGF470JTCE</x:t>
  </x:si>
  <x:si>
    <x:t xml:space="preserve">UNI-ROYAL</x:t>
  </x:si>
  <x:si>
    <x:t xml:space="preserve">1%</x:t>
  </x:si>
  <x:si>
    <x:t xml:space="preserve">62.5mW</x:t>
  </x:si>
  <x:si>
    <x:t xml:space="preserve">R2, R3</x:t>
  </x:si>
  <x:si>
    <x:t xml:space="preserve">10k</x:t>
  </x:si>
  <x:si>
    <x:t xml:space="preserve">R_0603_1608Metric</x:t>
  </x:si>
  <x:si>
    <x:t xml:space="preserve">C25804</x:t>
  </x:si>
  <x:si>
    <x:t xml:space="preserve">0603WAF1002T5E</x:t>
  </x:si>
  <x:si>
    <x:t xml:space="preserve">75V</x:t>
  </x:si>
  <x:si>
    <x:t xml:space="preserve">100mW</x:t>
  </x:si>
  <x:si>
    <x:t xml:space="preserve">R4, R22, R42, R44</x:t>
  </x:si>
  <x:si>
    <x:t xml:space="preserve">C25076</x:t>
  </x:si>
  <x:si>
    <x:t xml:space="preserve">0402WGF1000TCE</x:t>
  </x:si>
  <x:si>
    <x:t xml:space="preserve">RGB blue: ~5.5mA typ, 9.5mA worst-case low Vf (&lt;25mA max)</x:t>
  </x:si>
  <x:si>
    <x:t xml:space="preserve">R5, R6</x:t>
  </x:si>
  <x:si>
    <x:t xml:space="preserve">5k1</x:t>
  </x:si>
  <x:si>
    <x:t xml:space="preserve">C25905</x:t>
  </x:si>
  <x:si>
    <x:t xml:space="preserve">0402WGF5101TCE</x:t>
  </x:si>
  <x:si>
    <x:t xml:space="preserve">R7</x:t>
  </x:si>
  <x:si>
    <x:t xml:space="preserve">0R</x:t>
  </x:si>
  <x:si>
    <x:t xml:space="preserve">C21189</x:t>
  </x:si>
  <x:si>
    <x:t xml:space="preserve">0603WAF0000T5E</x:t>
  </x:si>
  <x:si>
    <x:t xml:space="preserve">R8</x:t>
  </x:si>
  <x:si>
    <x:t xml:space="preserve">100k</x:t>
  </x:si>
  <x:si>
    <x:t xml:space="preserve">C25741</x:t>
  </x:si>
  <x:si>
    <x:t xml:space="preserve">0402WGF1003TCE</x:t>
  </x:si>
  <x:si>
    <x:t xml:space="preserve">R9, R12, R15, R27, R32, R33, R34, R35, R36, R51, R52, R55, R56</x:t>
  </x:si>
  <x:si>
    <x:t xml:space="preserve">C25744</x:t>
  </x:si>
  <x:si>
    <x:t xml:space="preserve">0402WGF1002TCE</x:t>
  </x:si>
  <x:si>
    <x:t xml:space="preserve">Keeps the radio deselected before firmware runs; PR1 divider bottom; VOLT_SENSE divider top</x:t>
  </x:si>
  <x:si>
    <x:t xml:space="preserve">R10</x:t>
  </x:si>
  <x:si>
    <x:t xml:space="preserve">22k</x:t>
  </x:si>
  <x:si>
    <x:t xml:space="preserve">C25768</x:t>
  </x:si>
  <x:si>
    <x:t xml:space="preserve">0402WGF2202TCE</x:t>
  </x:si>
  <x:si>
    <x:t xml:space="preserve">VOLT_SENSE = VBAT x 22k/32k: 4.2V -&gt; 2.89V, 3.0V -&gt; 2.06V</x:t>
  </x:si>
  <x:si>
    <x:t xml:space="preserve">R11</x:t>
  </x:si>
  <x:si>
    <x:t xml:space="preserve">33k</x:t>
  </x:si>
  <x:si>
    <x:t xml:space="preserve">C25779</x:t>
  </x:si>
  <x:si>
    <x:t xml:space="preserve">0402WGF3302TCE</x:t>
  </x:si>
  <x:si>
    <x:t xml:space="preserve">PR1 divider top (from VBUS). VBUS x 10k/43k crosses VREF 1.0V (0.92-1.08) at 4.3V (3.96-4.64V).</x:t>
  </x:si>
  <x:si>
    <x:t xml:space="preserve">R13</x:t>
  </x:si>
  <x:si>
    <x:t xml:space="preserve">511k</x:t>
  </x:si>
  <x:si>
    <x:t xml:space="preserve">C64042</x:t>
  </x:si>
  <x:si>
    <x:t xml:space="preserve">0402WGF5113TCE</x:t>
  </x:si>
  <x:si>
    <x:t xml:space="preserve">FB top. VOUT = 0.5V x (1 + 511k/91k) = 3.31V (TI DS Table 10-1 values for 3.3V)</x:t>
  </x:si>
  <x:si>
    <x:t xml:space="preserve">R14</x:t>
  </x:si>
  <x:si>
    <x:t xml:space="preserve">91k</x:t>
  </x:si>
  <x:si>
    <x:t xml:space="preserve">C4147</x:t>
  </x:si>
  <x:si>
    <x:t xml:space="preserve">0402WGF9102TCE</x:t>
  </x:si>
  <x:si>
    <x:t xml:space="preserve">FB bottom</x:t>
  </x:si>
  <x:si>
    <x:t xml:space="preserve">R16, R17, R18, R28, R29, R30, R31</x:t>
  </x:si>
  <x:si>
    <x:t xml:space="preserve">10</x:t>
  </x:si>
  <x:si>
    <x:t xml:space="preserve">C25077</x:t>
  </x:si>
  <x:si>
    <x:t xml:space="preserve">0402WGF100JTCE</x:t>
  </x:si>
  <x:si>
    <x:t xml:space="preserve">R19</x:t>
  </x:si>
  <x:si>
    <x:t xml:space="preserve">3k3</x:t>
  </x:si>
  <x:si>
    <x:t xml:space="preserve">C25890</x:t>
  </x:si>
  <x:si>
    <x:t xml:space="preserve">0402WGF3301TCE</x:t>
  </x:si>
  <x:si>
    <x:t xml:space="preserve">R20</x:t>
  </x:si>
  <x:si>
    <x:t xml:space="preserve">270</x:t>
  </x:si>
  <x:si>
    <x:t xml:space="preserve">C25099</x:t>
  </x:si>
  <x:si>
    <x:t xml:space="preserve">0402WGF2700TCE</x:t>
  </x:si>
  <x:si>
    <x:t xml:space="preserve">RGB red: ~5mA (Vf ~1.85V at 5mA, 3.3V anode, MCU sink)</x:t>
  </x:si>
  <x:si>
    <x:t xml:space="preserve">R21, R37, R38</x:t>
  </x:si>
  <x:si>
    <x:t xml:space="preserve">330</x:t>
  </x:si>
  <x:si>
    <x:t xml:space="preserve">C25104</x:t>
  </x:si>
  <x:si>
    <x:t xml:space="preserve">0402WGF3300TCE</x:t>
  </x:si>
  <x:si>
    <x:t xml:space="preserve">RGB green: ~2.6mA (green is ~4x brighter than blue per datasheet)</x:t>
  </x:si>
  <x:si>
    <x:t xml:space="preserve">R23, R24</x:t>
  </x:si>
  <x:si>
    <x:t xml:space="preserve">470</x:t>
  </x:si>
  <x:si>
    <x:t xml:space="preserve">C25117</x:t>
  </x:si>
  <x:si>
    <x:t xml:space="preserve">0402WGF4700TCE</x:t>
  </x:si>
  <x:si>
    <x:t xml:space="preserve">R25</x:t>
  </x:si>
  <x:si>
    <x:t xml:space="preserve">910</x:t>
  </x:si>
  <x:si>
    <x:t xml:space="preserve">C44933</x:t>
  </x:si>
  <x:si>
    <x:t xml:space="preserve">0402WGF9100TCE</x:t>
  </x:si>
  <x:si>
    <x:t xml:space="preserve">R26</x:t>
  </x:si>
  <x:si>
    <x:t xml:space="preserve">C23138</x:t>
  </x:si>
  <x:si>
    <x:t xml:space="preserve">0603WAF3300T5E</x:t>
  </x:si>
  <x:si>
    <x:t xml:space="preserve">ARM LED from +VBAT_ARM: (4.2-2.0)/330 = 6.7mA, 3.0V -&gt; 3mA</x:t>
  </x:si>
  <x:si>
    <x:t xml:space="preserve">R39, R40</x:t>
  </x:si>
  <x:si>
    <x:t xml:space="preserve">8k2</x:t>
  </x:si>
  <x:si>
    <x:t xml:space="preserve">C25924</x:t>
  </x:si>
  <x:si>
    <x:t xml:space="preserve">0402WGF8201TCE</x:t>
  </x:si>
  <x:si>
    <x:t xml:space="preserve">R41, R43</x:t>
  </x:si>
  <x:si>
    <x:t xml:space="preserve">R_1206_3216Metric</x:t>
  </x:si>
  <x:si>
    <x:t xml:space="preserve">C17902</x:t>
  </x:si>
  <x:si>
    <x:t xml:space="preserve">1206W4F1002T5E</x:t>
  </x:si>
  <x:si>
    <x:t xml:space="preserve">200V</x:t>
  </x:si>
  <x:si>
    <x:t xml:space="preserve">250mW</x:t>
  </x:si>
  <x:si>
    <x:t xml:space="preserve">PMOS gate pull-up to +VBAT_ARM. 10k: 0.42mA while firing (4.2V). 1206 kept so the footprint does not change.</x:t>
  </x:si>
  <x:si>
    <x:t xml:space="preserve">R45, R46, R47, R48</x:t>
  </x:si>
  <x:si>
    <x:t xml:space="preserve">1</x:t>
  </x:si>
  <x:si>
    <x:t xml:space="preserve">R_2512_6332Metric</x:t>
  </x:si>
  <x:si>
    <x:t xml:space="preserve">C840604</x:t>
  </x:si>
  <x:si>
    <x:t xml:space="preserve">CRM2512-FX-1R00ELF</x:t>
  </x:si>
  <x:si>
    <x:t xml:space="preserve">Bourns</x:t>
  </x:si>
  <x:si>
    <x:t xml:space="preserve">300V</x:t>
  </x:si>
  <x:si>
    <x:t xml:space="preserve">2W (pulse: ~6W/1s)</x:t>
  </x:si>
  <x:si>
    <x:t xml:space="preserve">Igniter series current limit, 2 x 1R in series per channel (3R total with the 1R e-match: ~0.86A at 3.0V, ~1.27A at 4.2V; MJG BP starter all-fire 0.60A, recommended 0.75-1.0A). Per resistor: 1.6W while the match is intact (ms), 3.4W into a shorted output (4.2V/2.3R = 1.83A). Bourns CRM2512 pulse curve (&gt;=1R): ~6W for a 1s single pulse, ~27W for 0.1s. Limit firmware fire time to &lt;= 1s.</x:t>
  </x:si>
  <x:si>
    <x:t xml:space="preserve">R49, R50</x:t>
  </x:si>
  <x:si>
    <x:t xml:space="preserve">C22978</x:t>
  </x:si>
  <x:si>
    <x:t xml:space="preserve">0603WAF3301T5E</x:t>
  </x:si>
  <x:si>
    <x:t xml:space="preserve">Bleeder: 4.2V^2/3.3k = 5mW</x:t>
  </x:si>
  <x:si>
    <x:t xml:space="preserve">R53, R54</x:t>
  </x:si>
  <x:si>
    <x:t xml:space="preserve">4.7k</x:t>
  </x:si>
  <x:si>
    <x:t xml:space="preserve">C25900</x:t>
  </x:si>
  <x:si>
    <x:t xml:space="preserve">0402WGF4701TCE</x:t>
  </x:si>
  <x:si>
    <x:t xml:space="preserve">Sense divider top. Firing at 4.2V -&gt; 4.2 x 10k/14.7k = 2.86V at the ADC (was 33k for 12.6V).</x:t>
  </x:si>
  <x:si>
    <x:t xml:space="preserve">SW1</x:t>
  </x:si>
  <x:si>
    <x:t xml:space="preserve">SW_Push</x:t>
  </x:si>
  <x:si>
    <x:t xml:space="preserve">SW_SPST_TL3342</x:t>
  </x:si>
  <x:si>
    <x:t xml:space="preserve">C2886898</x:t>
  </x:si>
  <x:si>
    <x:t xml:space="preserve">TL3342F160QG</x:t>
  </x:si>
  <x:si>
    <x:t xml:space="preserve">E-Switch</x:t>
  </x:si>
  <x:si>
    <x:t xml:space="preserve">SW2</x:t>
  </x:si>
  <x:si>
    <x:t xml:space="preserve">SW_SPST</x:t>
  </x:si>
  <x:si>
    <x:t xml:space="preserve">SW3</x:t>
  </x:si>
  <x:si>
    <x:t xml:space="preserve">U1</x:t>
  </x:si>
  <x:si>
    <x:t xml:space="preserve">STM32G473VET6</x:t>
  </x:si>
  <x:si>
    <x:t xml:space="preserve">LQFP-100_14x14mm_P0.5mm</x:t>
  </x:si>
  <x:si>
    <x:t xml:space="preserve">C730122</x:t>
  </x:si>
  <x:si>
    <x:t xml:space="preserve">STMicroelectronics</x:t>
  </x:si>
  <x:si>
    <x:t xml:space="preserve">STM32G473VET6 = G474 without HRTIM (not used here); same die/pinout/LQFP-100. 99 at JLC (G474: 39). Same symbol (STM32G474VETx) is used for the pin map.</x:t>
  </x:si>
  <x:si>
    <x:t xml:space="preserve">U2</x:t>
  </x:si>
  <x:si>
    <x:t xml:space="preserve">USBLC6-2P6</x:t>
  </x:si>
  <x:si>
    <x:t xml:space="preserve">SOT-666</x:t>
  </x:si>
  <x:si>
    <x:t xml:space="preserve">C15999</x:t>
  </x:si>
  <x:si>
    <x:t xml:space="preserve">U3</x:t>
  </x:si>
  <x:si>
    <x:t xml:space="preserve">TPS63802DLAR</x:t>
  </x:si>
  <x:si>
    <x:t xml:space="preserve">TI_VSON-HR-10_2x3mm_P0.5mm_DLA0010A</x:t>
  </x:si>
  <x:si>
    <x:t xml:space="preserve">C2845237</x:t>
  </x:si>
  <x:si>
    <x:t xml:space="preserve">Texas Instruments</x:t>
  </x:si>
  <x:si>
    <x:t xml:space="preserve">1S buck-boost, VIN 1.3-5.5V, 2A. EN and MODE tied to VIN (always on, forced PWM: lowest ripple for the radio/GPS). Layout per TI DS sec. 12: CIN/COUT next to VIN/VOUT-GND, short L1/L2 loop.</x:t>
  </x:si>
  <x:si>
    <x:t xml:space="preserve">U4</x:t>
  </x:si>
  <x:si>
    <x:t xml:space="preserve">TPS2116DRL</x:t>
  </x:si>
  <x:si>
    <x:t xml:space="preserve">SOT-583-8</x:t>
  </x:si>
  <x:si>
    <x:t xml:space="preserve">C3235557</x:t>
  </x:si>
  <x:si>
    <x:t xml:space="preserve">TPS2116DRLR</x:t>
  </x:si>
  <x:si>
    <x:t xml:space="preserve">U5</x:t>
  </x:si>
  <x:si>
    <x:t xml:space="preserve">MAX-M10S</x:t>
  </x:si>
  <x:si>
    <x:t xml:space="preserve">ublox_MAX</x:t>
  </x:si>
  <x:si>
    <x:t xml:space="preserve">C4153167</x:t>
  </x:si>
  <x:si>
    <x:t xml:space="preserve">MAX-M10S-00B</x:t>
  </x:si>
  <x:si>
    <x:t xml:space="preserve">u-blox</x:t>
  </x:si>
  <x:si>
    <x:t xml:space="preserve">U6</x:t>
  </x:si>
  <x:si>
    <x:t xml:space="preserve">BMP581</x:t>
  </x:si>
  <x:si>
    <x:t xml:space="preserve">LGA-10_L2.0-W2.0-P0.50-TL_BMP581</x:t>
  </x:si>
  <x:si>
    <x:t xml:space="preserve">C5362283</x:t>
  </x:si>
  <x:si>
    <x:t xml:space="preserve">Bosch Sensortec</x:t>
  </x:si>
  <x:si>
    <x:t xml:space="preserve">U7</x:t>
  </x:si>
  <x:si>
    <x:t xml:space="preserve">BMI088</x:t>
  </x:si>
  <x:si>
    <x:t xml:space="preserve">Bosch_LGA-16_4.5x3mm_P0.5mm_LayoutBorder7x1y_ClockwisePinNumbering</x:t>
  </x:si>
  <x:si>
    <x:t xml:space="preserve">C194919</x:t>
  </x:si>
  <x:si>
    <x:t xml:space="preserve">U8</x:t>
  </x:si>
  <x:si>
    <x:t xml:space="preserve">ADXL345BCCZ-RL7</x:t>
  </x:si>
  <x:si>
    <x:t xml:space="preserve">ADI_LGA-14_3x5mm_P0.8mm</x:t>
  </x:si>
  <x:si>
    <x:t xml:space="preserve">C9667</x:t>
  </x:si>
  <x:si>
    <x:t xml:space="preserve">Analog Devices</x:t>
  </x:si>
  <x:si>
    <x:t xml:space="preserve">U9</x:t>
  </x:si>
  <x:si>
    <x:t xml:space="preserve">ADXL375BCCZ-RL7</x:t>
  </x:si>
  <x:si>
    <x:t xml:space="preserve">C481898</x:t>
  </x:si>
  <x:si>
    <x:t xml:space="preserve">Low stock (74 at JLC)</x:t>
  </x:si>
  <x:si>
    <x:t xml:space="preserve">U10</x:t>
  </x:si>
  <x:si>
    <x:t xml:space="preserve">Ra-01H</x:t>
  </x:si>
  <x:si>
    <x:t xml:space="preserve">Ai-Thinker_Ra-01H_SMD-16_17x16mm</x:t>
  </x:si>
  <x:si>
    <x:t xml:space="preserve">C503593</x:t>
  </x:si>
  <x:si>
    <x:t xml:space="preserve">Ai-Thinker</x:t>
  </x:si>
  <x:si>
    <x:t xml:space="preserve">SX1276 LoRa, 803-930MHz. IREC SRAD band 913.0-917.0MHz, &lt;=500mW, no hopping. Keep NSS high / put in sleep if unused; never TX without an antenna or 50R load. RESET is open-drain (drive low or Hi-Z only).</x:t>
  </x:si>
  <x:si>
    <x:t xml:space="preserve">U11</x:t>
  </x:si>
  <x:si>
    <x:t xml:space="preserve">Airlift</x:t>
  </x:si>
  <x:si>
    <x:t xml:space="preserve">Ada_Airlift</x:t>
  </x:si>
  <x:si>
    <x:t xml:space="preserve">C2897375</x:t>
  </x:si>
  <x:si>
    <x:t xml:space="preserve">PM254-1-12-Z-8.5</x:t>
  </x:si>
  <x:si>
    <x:t xml:space="preserve">HCTL</x:t>
  </x:si>
  <x:si>
    <x:t xml:space="preserve">Optional (not in JLC BOM)</x:t>
  </x:si>
  <x:si>
    <x:t xml:space="preserve">The board-side part is the 1x12 female socket. The Airlift module (Adafruit 4201) plugs in; Also: Adafruit AirLift ESP32 breakout PID 4201 (plugs in, not from LCSC)</x:t>
  </x:si>
  <x:si>
    <x:t xml:space="preserve">Y1</x:t>
  </x:si>
  <x:si>
    <x:t xml:space="preserve">25MHz</x:t>
  </x:si>
  <x:si>
    <x:t xml:space="preserve">CRYSTAL-SMD_4P-L3.2-W2.5-BL</x:t>
  </x:si>
  <x:si>
    <x:t xml:space="preserve">C9006</x:t>
  </x:si>
  <x:si>
    <x:t xml:space="preserve">X322525MOB4SI</x:t>
  </x:si>
  <x:si>
    <x:t xml:space="preserve">YXC</x:t>
  </x:si>
  <x:si>
    <x:t xml:space="preserve">25MHz 12pF crystal</x:t>
  </x:si>
  <x:si>
    <x:t xml:space="preserve">Y2</x:t>
  </x:si>
  <x:si>
    <x:t xml:space="preserve">32.768kHz</x:t>
  </x:si>
  <x:si>
    <x:t xml:space="preserve">Crystal_SMD_3215-2Pin_3.2x1.5mm</x:t>
  </x:si>
  <x:si>
    <x:t xml:space="preserve">C20340322</x:t>
  </x:si>
  <x:si>
    <x:t xml:space="preserve">FC-135 32.7680KA-E</x:t>
  </x:si>
  <x:si>
    <x:t xml:space="preserve">Seiko Epson</x:t>
  </x:si>
  <x:si>
    <x:t xml:space="preserve">6pF / 70k ESR crystal: gm_crit ~0.6uA/V. Use LSEDRV = medium-high (1.7uA/V max) for &gt;2x margin</x:t>
  </x:si>
  <x:si>
    <x:t xml:space="preserve">Total placements</x:t>
  </x:si>
  <x:si>
    <x:t xml:space="preserve">BOM lines missing an LCSC number</x:t>
  </x:si>
  <x:si>
    <x:t xml:space="preserve">Not in BOM (no part to buy): TP1-TP11 test points, H1/H2 (3/8in rod holes), H3 (TeleMetrum sled holes).</x:t>
  </x:si>
  <x:si>
    <x:t xml:space="preserve">Comment</x:t>
  </x:si>
  <x:si>
    <x:t xml:space="preserve">Designator</x:t>
  </x:si>
  <x:si>
    <x:t xml:space="preserve">LCSC Part #</x:t>
  </x:si>
  <x:si>
    <x:t xml:space="preserve">C2,C3,C4,C5,C7,C8,C9,C25,C26,C27,C29,C30,C31,C33,C35,C38,C43,C44</x:t>
  </x:si>
  <x:si>
    <x:t xml:space="preserve">C6,C11,C12</x:t>
  </x:si>
  <x:si>
    <x:t xml:space="preserve">C13,C15</x:t>
  </x:si>
  <x:si>
    <x:t xml:space="preserve">C16,C17</x:t>
  </x:si>
  <x:si>
    <x:t xml:space="preserve">C18,C19,C37</x:t>
  </x:si>
  <x:si>
    <x:t xml:space="preserve">C20,C21</x:t>
  </x:si>
  <x:si>
    <x:t xml:space="preserve">C22,C23,C36</x:t>
  </x:si>
  <x:si>
    <x:t xml:space="preserve">C32,C34</x:t>
  </x:si>
  <x:si>
    <x:t xml:space="preserve">C39,C40</x:t>
  </x:si>
  <x:si>
    <x:t xml:space="preserve">C41,C42</x:t>
  </x:si>
  <x:si>
    <x:t xml:space="preserve">D3,D4,D5,D6</x:t>
  </x:si>
  <x:si>
    <x:t xml:space="preserve">D7,D8</x:t>
  </x:si>
  <x:si>
    <x:t xml:space="preserve">D9,D10</x:t>
  </x:si>
  <x:si>
    <x:t xml:space="preserve">F1,F2</x:t>
  </x:si>
  <x:si>
    <x:t xml:space="preserve">J6,J8</x:t>
  </x:si>
  <x:si>
    <x:t xml:space="preserve">J7,J11,J12</x:t>
  </x:si>
  <x:si>
    <x:t xml:space="preserve">J9,J10</x:t>
  </x:si>
  <x:si>
    <x:t xml:space="preserve">Q1,Q5,Q6</x:t>
  </x:si>
  <x:si>
    <x:t xml:space="preserve">Q2,Q3,Q4</x:t>
  </x:si>
  <x:si>
    <x:t xml:space="preserve">R2,R3</x:t>
  </x:si>
  <x:si>
    <x:t xml:space="preserve">R4,R22,R42,R44</x:t>
  </x:si>
  <x:si>
    <x:t xml:space="preserve">R5,R6</x:t>
  </x:si>
  <x:si>
    <x:t xml:space="preserve">R9,R12,R15,R27,R32,R33,R34,R35,R36,R51,R52,R55,R56</x:t>
  </x:si>
  <x:si>
    <x:t xml:space="preserve">R16,R17,R18,R28,R29,R30,R31</x:t>
  </x:si>
  <x:si>
    <x:t xml:space="preserve">R21,R37,R38</x:t>
  </x:si>
  <x:si>
    <x:t xml:space="preserve">R23,R24</x:t>
  </x:si>
  <x:si>
    <x:t xml:space="preserve">R39,R40</x:t>
  </x:si>
  <x:si>
    <x:t xml:space="preserve">R41,R43</x:t>
  </x:si>
  <x:si>
    <x:t xml:space="preserve">R45,R46,R47,R48</x:t>
  </x:si>
  <x:si>
    <x:t xml:space="preserve">R49,R50</x:t>
  </x:si>
  <x:si>
    <x:t xml:space="preserve">R53,R54</x:t>
  </x:si>
  <x:si>
    <x:t xml:space="preserve">SW1,SW2</x:t>
  </x:si>
  <x:si>
    <x:t xml:space="preserve">Item</x:t>
  </x:si>
  <x:si>
    <x:t xml:space="preserve">Why / how</x:t>
  </x:si>
  <x:si>
    <x:t xml:space="preserve">Battery connector (bottom side)</x:t>
  </x:si>
  <x:si>
    <x:t xml:space="preserve">JST XH 2-pin (3A/contact), THT on B.Cu, hand-solder. Pin 1 = +BATT, pin 2 = GND. 1S Li-ion (3.0-4.2V) only: U3/U4 are 6V abs max. SW3 uses the same XH 2-pin, so key/label the harnesses.</x:t>
  </x:si>
  <x:si>
    <x:t xml:space="preserve">Battery cable housing</x:t>
  </x:si>
  <x:si>
    <x:t xml:space="preserve">mates J2</x:t>
  </x:si>
  <x:si>
    <x:t xml:space="preserve">XHP-2 + SXH-001T-P0.6 (AWG22-28; use AWG22)</x:t>
  </x:si>
  <x:si>
    <x:t xml:space="preserve">Make the harness to the CamControl battery board. AWG22 for the 3A rating.</x:t>
  </x:si>
  <x:si>
    <x:t xml:space="preserve">GPS patch antenna (NOT in JLC BOM)</x:t>
  </x:si>
  <x:si>
    <x:t xml:space="preserve">AE1</x:t>
  </x:si>
  <x:si>
    <x:t xml:space="preserve">Mouser 960-GP1575184A02</x:t>
  </x:si>
  <x:si>
    <x:t xml:space="preserve">Taoglas GP.1575.18.4.A.02</x:t>
  </x:si>
  <x:si>
    <x:t xml:space="preserve">Order from Mouser (214 in stock on 2026-10-05, $4.72). Hand-place: feed pin through the board + adhesive. LCSC C7281913 has 0 stock.</x:t>
  </x:si>
  <x:si>
    <x:t xml:space="preserve">Radio antenna + coax</x:t>
  </x:si>
  <x:si>
    <x:t xml:space="preserve">915MHz SMA antenna, SMA-SMA RG-316 cable</x:t>
  </x:si>
  <x:si>
    <x:t xml:space="preserve">Mount the antenna on a bracket away from the board and ground plane. Never transmit with J4 open.</x:t>
  </x:si>
  <x:si>
    <x:t xml:space="preserve">Adafruit AirLift breakout</x:t>
  </x:si>
  <x:si>
    <x:t xml:space="preserve">C2897375 (socket)</x:t>
  </x:si>
  <x:si>
    <x:t xml:space="preserve">Adafruit PID 4201 + PM254-1-12-Z-8.5</x:t>
  </x:si>
  <x:si>
    <x:t xml:space="preserve">Optional (U11 is in_bom=no). Socket is THT, can go in JLC THT if wanted.</x:t>
  </x:si>
  <x:si>
    <x:t xml:space="preserve">M4 screws, washers, nuts for TeleMetrum sled</x:t>
  </x:si>
  <x:si>
    <x:t xml:space="preserve">H3</x:t>
  </x:si>
  <x:si>
    <x:t xml:space="preserve">M4x0.7 SHCS x10/x12 (Onshape BOM)</x:t>
  </x:si>
  <x:si>
    <x:t xml:space="preserve">Through H3 into the sled nut traps.</x:t>
  </x:si>
  <x:si>
    <x:t xml:space="preserve">3/8-16 threaded rod hardware</x:t>
  </x:si>
  <x:si>
    <x:t xml:space="preserve">H1, H2</x:t>
  </x:si>
  <x:si>
    <x:t xml:space="preserve">Hex nut 3/8-16 + 3/8 washers</x:t>
  </x:si>
  <x:si>
    <x:t xml:space="preserve">Clamp the board on the rods. 9.6mm keepout ring on both sides.</x:t>
  </x:si>
  <x:si>
    <x:t xml:space="preserve">Area</x:t>
  </x:si>
  <x:si>
    <x:t xml:space="preserve">Change</x:t>
  </x:si>
  <x:si>
    <x:t xml:space="preserve">Reason / source</x:t>
  </x:si>
  <x:si>
    <x:t xml:space="preserve">1S battery</x:t>
  </x:si>
  <x:si>
    <x:t xml:space="preserve">Pack is now 1S Li-ion (3.0-4.2V), external on J2 (JST PH, bottom). Removed the LMR51430 buck (old U2, L1, C18, C21, C22, C23, R8, R9) and the AMS1117 USB LDO (old U3, C20). New path: TPS2116 mux U4 with VIN1 = USB VBUS (priority) and VIN2 = +VBAT, output VSYS, then a TPS63802 buck-boost U3 makes +3V3.</x:t>
  </x:si>
  <x:si>
    <x:t xml:space="preserve">User request (3S -&gt; 1S). A 1S cell sits below 3.3V for most of its discharge (3.7V nominal, 3.0V empty), so a buck or LDO cannot hold 3.3V; a buck-boost can.</x:t>
  </x:si>
  <x:si>
    <x:t xml:space="preserve">TPS63802</x:t>
  </x:si>
  <x:si>
    <x:t xml:space="preserve">U3 TPS63802DLAR (C2845237). L1 0.47uH Coilcraft XFL4015-471MEC (C18221164, Isat 5.4A, 7.6mR). C19 10uF/25V X5R 0805 in, C22 + C23 22uF/25V X5R 0805 out. FB R13 511k / R14 91k -&gt; 3.31V. EN and MODE tied to VIN (always on, forced PWM). PG not used.</x:t>
  </x:si>
  <x:si>
    <x:t xml:space="preserve">TPS63802 DS (SLVSEU9D) sec. 10.2: Table 10-1 (511k/91k for 3.3V), Table 10-2 (XFL4015-471ME), 10uF CIN, 22uF COUT (effective &gt;= 10uF after DC bias; two 25V 0805 parts give margin).</x:t>
  </x:si>
  <x:si>
    <x:t xml:space="preserve">TPS63802 footprint</x:t>
  </x:si>
  <x:si>
    <x:t xml:space="preserve">New aerolotl_custom:TI_VSON-HR-10_2x3mm_P0.5mm_DLA0010A. Pads 1-5 0.6x0.25 at x=-0.9; 6,7,9,10 0.9x0.25 at x=+0.75; pin 8 (GND) 1.3x0.25 running under the body; 0.5mm pitch.</x:t>
  </x:si>
  <x:si>
    <x:t xml:space="preserve">TI DLA0010A example board layout (4223750/D). KiCad has no footprint for this package.</x:t>
  </x:si>
  <x:si>
    <x:t xml:space="preserve">Power mux</x:t>
  </x:si>
  <x:si>
    <x:t xml:space="preserve">U4 TPS2116: VIN1 = P_VBUS with MODE tied to VIN1 (priority mode), PR1 divider R11 33k / R12 10k -&gt; USB selected when VBUS &gt; 4.3V (VREF 0.92-1.08V -&gt; 3.96-4.64V). VIN2 = +VBAT. VOUT = VSYS, C24 100uF bulk kept.</x:t>
  </x:si>
  <x:si>
    <x:t xml:space="preserve">TPS2116 DS sec. 7.6.1: priority mode = MODE tied to VIN1 + divider to PR1. USB VBUS minimum 4.75V clears the worst-case threshold.</x:t>
  </x:si>
  <x:si>
    <x:t xml:space="preserve">Net names</x:t>
  </x:si>
  <x:si>
    <x:t xml:space="preserve">+12V -&gt; +VBAT and +12V_ARM -&gt; +VBAT_ARM (new aerolotl_custom power symbols; old +12V_ARM symbol renamed). TP2 +VBAT, TP7 +VBAT_ARM. Netclass patterns and the In2 zone follow. Removed patterns for nets that no longer exist (+3V3_BAT, USB_3V3, BUCK_SW, VBAT_PACK, BAT_TAP_*). Added VSYS, BB_SW1, BB_SW2 to PWR_LO.</x:t>
  </x:si>
  <x:si>
    <x:t xml:space="preserve">User request. "VBAT" is the reverse-protected battery rail (after Q1); +BATT is the raw connector side.</x:t>
  </x:si>
  <x:si>
    <x:t xml:space="preserve">PMOS</x:t>
  </x:si>
  <x:si>
    <x:t xml:space="preserve">Q1 (reverse polarity), Q5 and Q6 (igniter high-side) -&gt; DMP2022LSS-13 (C154919), same SO-8 pinout.</x:t>
  </x:si>
  <x:si>
    <x:t xml:space="preserve">At 1S the gate sees only -3.0 to -4.2V. DMP2022LSS is specified 22mR at Vgs -2.5V. AO4407A and FDS6673BZ are specified from -4.5V.</x:t>
  </x:si>
  <x:si>
    <x:t xml:space="preserve">D1 TVS</x:t>
  </x:si>
  <x:si>
    <x:t xml:space="preserve">D1 SMBJ15A -&gt; SMBJ5.0A (C78423).</x:t>
  </x:si>
  <x:si>
    <x:t xml:space="preserve">Standoff 5.0V clears the 4.2V full charge. CORRECTION: its 6.4-7.07V breakdown is above the 6V abs max of U3/U4, so it is ESD/small-transient protection only, not surge or wrong-pack protection. See open items.</x:t>
  </x:si>
  <x:si>
    <x:t xml:space="preserve">J2 battery connector</x:t>
  </x:si>
  <x:si>
    <x:t xml:space="preserve">J2 JST PH -&gt; JST XH B2B-XH-A (C158012), 3A per contact with AWG22. Same bottom-side position (moved 0.5mm to clear).</x:t>
  </x:si>
  <x:si>
    <x:t xml:space="preserve">Battery current budget: avionics ~1.3A at 3.0V plus e-match firing current share J2.</x:t>
  </x:si>
  <x:si>
    <x:t xml:space="preserve">Igniter series R</x:t>
  </x:si>
  <x:si>
    <x:t xml:space="preserve">R45 + R47 (drogue) and R46 + R48 (main): 2 x 1R Bourns CRM2512-FX-1R00ELF (C840604, 2W, 2512) in series per channel, between the PMOS drain (IGNx_HS, where the continuity/fire sense taps) and the terminal (IGNx_OUT). Nets IGNx_RLIM/IGNx_OUT added to PWR_HI. Terminal blocks moved right on the schematic.</x:t>
  </x:si>
  <x:si>
    <x:t xml:space="preserve">MJG BP starter: 1.0R, all-fire 0.60A, recommended 0.75-1.0A. Loop ~3.3-3.5R gives ~0.86A at 3.0V, ~0.94A at 3.3V, ~1.27A at 4.2V. Per resistor: 1.6W while the match is intact, 3.4W into a shorted output (1.83A); Bourns pulse curve allows ~6W for 1s, ~27W for 0.1s, so two 1R parts (not one 2R) with a &lt;=1s firmware fire pulse. Sense thresholds unchanged because the sense tap stays on the drain side.</x:t>
  </x:si>
  <x:si>
    <x:t xml:space="preserve">U11 bulk cap</x:t>
  </x:si>
  <x:si>
    <x:t xml:space="preserve">Added C45 47uF/10V X5R 1206 (C96123) at U11 VIN/GND.</x:t>
  </x:si>
  <x:si>
    <x:t xml:space="preserve">AirLift VIN allows 3.3-5V but the ESP32 Wi-Fi TX spikes (~0.5A) need local bulk.</x:t>
  </x:si>
  <x:si>
    <x:t xml:space="preserve">Battery sense</x:t>
  </x:si>
  <x:si>
    <x:t xml:space="preserve">R10 3k3 -&gt; 22k. VOLT_SENSE = VBAT x 22k/32k (4.2V -&gt; 2.89V, 3.0V -&gt; 2.06V).</x:t>
  </x:si>
  <x:si>
    <x:t xml:space="preserve">Uses most of the 3.3V ADC range for a 1S cell. Firmware scale: VBAT = V_adc x 1.4545.</x:t>
  </x:si>
  <x:si>
    <x:t xml:space="preserve">Igniters</x:t>
  </x:si>
  <x:si>
    <x:t xml:space="preserve">Gate pull-ups R41/R43 1k -&gt; 10k 1206 (C17902). Fire-sense dividers R53/R54 33k -&gt; 4.7k 0402 (C25900). Notes and the sense text block updated.</x:t>
  </x:si>
  <x:si>
    <x:t xml:space="preserve">At 4.2V the old 33k/10k divider gave only 1V while firing. 4.7k/10k gives 2.86V. Firmware thresholds: open ~1.0V, e-match present ~0V, firing ~2.9V.</x:t>
  </x:si>
  <x:si>
    <x:t xml:space="preserve">R26 3k3 -&gt; 330R 0603 (C23138).</x:t>
  </x:si>
  <x:si>
    <x:t xml:space="preserve">(4.2V - 2.0V) / 330R = 6.7mA, 3mA at 3.0V. 3k3 would leave the LED dark on 1S.</x:t>
  </x:si>
  <x:si>
    <x:t xml:space="preserve">MCU</x:t>
  </x:si>
  <x:si>
    <x:t xml:space="preserve">U1 -&gt; STM32G473VET6 (C730122). PA4 (pin 26) is now no-connect. The SPARE_ADC1 sheet pin was removed.</x:t>
  </x:si>
  <x:si>
    <x:t xml:space="preserve">G473 = G474 without HRTIM, which this board does not use. Same die, pinout and LQFP-100. 99 in stock at JLC vs 39 for the G474.</x:t>
  </x:si>
  <x:si>
    <x:t xml:space="preserve">ERC</x:t>
  </x:si>
  <x:si>
    <x:t xml:space="preserve">Cleared every item in ERC.rpt: SPARE_ADC1 sheet pin and the U1 pin 26 error; refreshed Device:C_Polarized, Device:D and Connector:Conn_01x07_Pin to the KiCad 10.0.6 library copies (C41/C42, D9/D10, J9/J10); unspecified pins -&gt; passive in all custom symbols (AO4407A, FDS6673BZ, RS-3535MWAR, 17-21SUYC, HNB09A03, SMBJ15A, PTC fuse, GX2512, SEA-12095, ADXL375 INT2/NC); U7 BMI088 moved to aerolotl_custom:BMI088 with SDO1/SDO2 as tri-state (it shares SPI1 MISO with the ADXL parts); removed the duplicate IGN0_CONT/IGN1_CONT labels (nets keep IGN0_HS/IGN1_HS); renamed U11 fields "Mfr. " / "Mfr. Part No." to "Module Mfr" / "Module PN".</x:t>
  </x:si>
  <x:si>
    <x:t xml:space="preserve">ERC.rpt from 2026-10-06 02:16. The BMI088 SDO pins really are tri-state in SPI mode, so the KiCad library pin type was the wrong one.</x:t>
  </x:si>
  <x:si>
    <x:t xml:space="preserve">Re-annotation</x:t>
  </x:si>
  <x:si>
    <x:t xml:space="preserve">Every reference renumbered in sheet page order (MCU, Debugger, Power, Sensors, Indicators, lora, SD, External, Igniter, airlift), then by X then Y on the sheet (KiCad "sort by X"). Power symbols and flags too. The PCB was updated by symbol path, so placement is unchanged. See the "Ref map" sheet.</x:t>
  </x:si>
  <x:si>
    <x:t xml:space="preserve">User request: numbering had gaps after deleting parts. Re-run after adding the igniter resistors (igniter R45-R56 shifted). Rows below this one use the old numbering.</x:t>
  </x:si>
  <x:si>
    <x:t xml:space="preserve">PCB</x:t>
  </x:si>
  <x:si>
    <x:t xml:space="preserve">Deleted old U2, U3, L1, C18, C20, C21, C22, C23. Placed the TPS63802 block in the old buck area: U3 with L1 on the L1/L2 side, C20 at VIN, C22/C23 at VOUT, FB resistors R13/R14 on the FB side. Every pad net now follows the schematic (my netlist check matches pad-for-pad).</x:t>
  </x:si>
  <x:si>
    <x:t xml:space="preserve">Board is unrouted. Review placement before routing.</x:t>
  </x:si>
  <x:si>
    <x:t xml:space="preserve">(older rows: old refs)</x:t>
  </x:si>
  <x:si>
    <x:t xml:space="preserve">LoRa radio</x:t>
  </x:si>
  <x:si>
    <x:t xml:space="preserve">Added U12 Ai-Thinker Ra-01H (SX1276, 915MHz) on its own SPI4 bus, J16 vertical SMA (BWSMA-KE-Z001), C45 10u + C46 100n decoupling, R52 10k NSS pull-up, TP11 scope pad on DIO0. J5 SPI4 header removed. NSS=PD1, RESET=PD2 (open-drain), DIO0=PC3 (EXTI3), DIO1=PF10 (EXTI10), DIO3=PC13 (EXTI13), DIO2=PC2 and DIO4=PF2 (polled), DIO5 not connected.</x:t>
  </x:si>
  <x:si>
    <x:t xml:space="preserve">Telemetry hardware ready for later. Only PC3/PF10/PC13 have free EXTI lines. SDSPI.MOSI bus breakout moved one row on the MCU sheet to make room for PC13.</x:t>
  </x:si>
  <x:si>
    <x:t xml:space="preserve">RGB LED</x:t>
  </x:si>
  <x:si>
    <x:t xml:space="preserve">R19 270R (C25099), R20 330R, R21 100R (C25076)</x:t>
  </x:si>
  <x:si>
    <x:t xml:space="preserve">RS-3535MWAR datasheet V-I curve on a 3.3V common anode</x:t>
  </x:si>
  <x:si>
    <x:t xml:space="preserve">Excluded from BOM; order from Mouser 960-GP1575184A02</x:t>
  </x:si>
  <x:si>
    <x:t xml:space="preserve">No LCSC/JLC stock</x:t>
  </x:si>
  <x:si>
    <x:t xml:space="preserve">Board outline</x:t>
  </x:si>
  <x:si>
    <x:t xml:space="preserve">Outline changed from a 152.4mm circle to the lower (CamControl) PCB outline from Onshape: 145.29mm dia, a 40mm-wide TeleMetrum notch at the bottom (inner edge 14mm in), and two 10mm x 6mm radial wire slots at 130 and 33 deg.</x:t>
  </x:si>
  <x:si>
    <x:t xml:space="preserve">Onshape AV Bay - Parametric, CamControl battery PCB top face. The coupler inner disc is 147.3mm, so the old 152.4mm board would not fit. Removed the "add cutouts" text from Edge.Cuts.</x:t>
  </x:si>
  <x:si>
    <x:t xml:space="preserve">Threaded rods</x:t>
  </x:si>
  <x:si>
    <x:t xml:space="preserve">H1/H2 moved to exactly (center +/-60mm, center), symmetric on the horizontal center line. Hole is 10.32mm NPTH, with a 9.6mm-radius courtyard and copper keepout on both sides for the washer and nut.</x:t>
  </x:si>
  <x:si>
    <x:t xml:space="preserve">Onshape rod holes r=5.159 at x=+/-60. Old holes were M6 (6.4mm), too small for 3/8" rod, and off-center (65.8 / 65.45mm, y +0.25).</x:t>
  </x:si>
  <x:si>
    <x:t xml:space="preserve">TeleMetrum</x:t>
  </x:si>
  <x:si>
    <x:t xml:space="preserve">Added H3: 2x 4.5mm M4 holes 17.4mm apart, 50mm below center. M4 washer keepout on top, sled-body keepout on the bottom.</x:t>
  </x:si>
  <x:si>
    <x:t xml:space="preserve">Onshape TeleMetrum sled (3D print) bolt holes r=2.25 at (+/-8.7, -50). The sled stands between this board and the lower PCB.</x:t>
  </x:si>
  <x:si>
    <x:t xml:space="preserve">J10 / J11</x:t>
  </x:si>
  <x:si>
    <x:t xml:space="preserve">JST GH 7-pin replaced by 2.54mm 1x7 pin headers (PZ254V-11-07P). Moved to the left side next to the other external connectors. GPIO names added on silkscreen.</x:t>
  </x:si>
  <x:si>
    <x:t xml:space="preserve">Request. The MPN field said SM07B (horizontal) while the footprint was BM07B (vertical), which was also inconsistent.</x:t>
  </x:si>
  <x:si>
    <x:t xml:space="preserve">U11 Airlift</x:t>
  </x:si>
  <x:si>
    <x:t xml:space="preserve">New Ada_Airlift footprint built from the Adafruit Eagle board: 1x12 header with correct pin order, 31.75x33.02mm outline, two M2.5 holes, and a copper keepout under the ESP32 antenna. Placed on the right side, clear of the rod. Updated in both aerolotl_av and aerolotl libraries.</x:t>
  </x:si>
  <x:si>
    <x:t xml:space="preserve">github.com/adafruit/Adafruit-AirLift-Breakout-PCB. The old footprint had no pads, and the board used a plain 1x12 socket.</x:t>
  </x:si>
  <x:si>
    <x:t xml:space="preserve">Igniter terminals</x:t>
  </x:si>
  <x:si>
    <x:t xml:space="preserve">J15 MAIN (top) and J14 DROGUE (bottom) are now vertical pluggable headers (Kangnex WJ2EDGVM-5.08, screw-flange) with WJ2EDGKM screw plugs, so the wires leave perpendicular to the board. J14 sits next to slot A so drogue wires drop through the lower PCB slot.</x:t>
  </x:si>
  <x:si>
    <x:t xml:space="preserve">Request: main routes upward, drogue underneath and hand-soldered. JLC has no stock of a one-piece vertical screw terminal.</x:t>
  </x:si>
  <x:si>
    <x:t xml:space="preserve">Battery</x:t>
  </x:si>
  <x:si>
    <x:t xml:space="preserve">BT1-BT3 18650 holders removed. J3 (was XT30 pin-switch) is now the external battery input: JST PH 2-pin on the bottom (+BATT / GND). Removed the leftover VBAT_PACK label that tied J3 pin 2 to GND.</x:t>
  </x:si>
  <x:si>
    <x:t xml:space="preserve">Request: batteries are external. Matches your edit that rewired J3 to +BATT/GND.</x:t>
  </x:si>
  <x:si>
    <x:t xml:space="preserve">Re-placement</x:t>
  </x:si>
  <x:si>
    <x:t xml:space="preserve">Moved edge connectors 3.6mm in (J2, J4, J5, J6, J9, J12) and AE1 2.6mm in, both igniter channels up and outward away from the sled washers and notch, indicators and the buzzer into the free right-middle area, SW3, TP3 and TP6, plus small nudges to clear new courtyards. The buck inductor moved for the larger part.</x:t>
  </x:si>
  <x:si>
    <x:t xml:space="preserve">The new outline, holes and keepouts. The board is unrouted, so nothing was ripped up. Review the placement.</x:t>
  </x:si>
  <x:si>
    <x:t xml:space="preserve">Every used U1 pin now shows its function (KiCad pin alternates: USART2_TX, SPI1_SCK, ADC1_IN1 and so on). Added GPIO_Output, GPIO_Input and GPIO_EXTIx alternates for plain-GPIO pins to the symbol, both embedded and in the library.</x:t>
  </x:si>
  <x:si>
    <x:t xml:space="preserve">Request. All 42 AF functions in AV_PINMAP.md exist as G474 alternates, which confirms the pin map.</x:t>
  </x:si>
  <x:si>
    <x:t xml:space="preserve">C9</x:t>
  </x:si>
  <x:si>
    <x:t xml:space="preserve">100nF -&gt; 10nF (VDDA HF cap)</x:t>
  </x:si>
  <x:si>
    <x:t xml:space="preserve">STM32G474 DS12288 Fig.16: VDDA 10nF + 1uF</x:t>
  </x:si>
  <x:si>
    <x:t xml:space="preserve">Y2, C16, C17</x:t>
  </x:si>
  <x:si>
    <x:t xml:space="preserve">LSE crystal Epson FC-135 32.7680KA-E (6pF, 70k). Load caps 15pF -&gt; 4.7pF C0G.</x:t>
  </x:si>
  <x:si>
    <x:t xml:space="preserve">15pF caps on a 6-12.5pF crystal pull the frequency. A 6pF crystal keeps gm_crit at about 0.6uA/V, under the 1.7uA/V of LSEDRV medium-high.</x:t>
  </x:si>
  <x:si>
    <x:t xml:space="preserve">C19</x:t>
  </x:si>
  <x:si>
    <x:t xml:space="preserve">22uF -&gt; 10uF on VBUS</x:t>
  </x:si>
  <x:si>
    <x:t xml:space="preserve">USB 2.0 limits capacitance on VBUS at attach to 10uF</x:t>
  </x:si>
  <x:si>
    <x:t xml:space="preserve">C20</x:t>
  </x:si>
  <x:si>
    <x:t xml:space="preserve">22uF MLCC -&gt; 22uF/16V tantalum (2.3R ESR), case B</x:t>
  </x:si>
  <x:si>
    <x:t xml:space="preserve">AMS1117 datasheet: 22uF solid tantalum on the output for stability. A low-ESR MLCC alone can oscillate.</x:t>
  </x:si>
  <x:si>
    <x:t xml:space="preserve">C21</x:t>
  </x:si>
  <x:si>
    <x:t xml:space="preserve">4.7uF 0805 -&gt; 10uF/50V X7R 1206</x:t>
  </x:si>
  <x:si>
    <x:t xml:space="preserve">LMR51430 DS 9.2.2.6: CIN &gt;= 4.7uF, rated about 2x VIN max (12.6V)</x:t>
  </x:si>
  <x:si>
    <x:t xml:space="preserve">4.7uH 4030 (Isat ~2A) -&gt; 5.6uH FXL0630 (Isat 5.5A, 42mR)</x:t>
  </x:si>
  <x:si>
    <x:t xml:space="preserve">LMR51430 Table 9-1 (500kHz, 3.3V) calls for 5.6uH, and Isat must exceed the 4.76A typ HS current limit</x:t>
  </x:si>
  <x:si>
    <x:t xml:space="preserve">C30, C34</x:t>
  </x:si>
  <x:si>
    <x:t xml:space="preserve">1uF 0402 MLCC -&gt; 1uF/10V tantalum (case R)</x:t>
  </x:si>
  <x:si>
    <x:t xml:space="preserve">ADXL345 / ADXL375 datasheets: 1uF tantalum at VS, 0.1uF ceramic at VDD I/O</x:t>
  </x:si>
  <x:si>
    <x:t xml:space="preserve">U7, U9</x:t>
  </x:si>
  <x:si>
    <x:t xml:space="preserve">Both now use ADI_LGA-14_3x5mm_P0.8mm (ADI recommended land pattern). Pin orientation is preserved.</x:t>
  </x:si>
  <x:si>
    <x:t xml:space="preserve">ADXL345 DS Fig.59. The two old footprints for the same package disagreed, and the ADXL375 one had 1.77mm hand-solder pads.</x:t>
  </x:si>
  <x:si>
    <x:t xml:space="preserve">Footprint SOT-23-6 -&gt; TSOT-23-6</x:t>
  </x:si>
  <x:si>
    <x:t xml:space="preserve">LMR51430XFDDCR is the DDC (thin SOT) package. The pads are identical.</x:t>
  </x:si>
  <x:si>
    <x:t xml:space="preserve">R12</x:t>
  </x:si>
  <x:si>
    <x:t xml:space="preserve">5k -&gt; 4.99k</x:t>
  </x:si>
  <x:si>
    <x:t xml:space="preserve">5k is not a stocked 1% value. PR1 threshold 1.134V vs 1.136V.</x:t>
  </x:si>
  <x:si>
    <x:t xml:space="preserve">Footprint field had no library nickname (it would fail to resolve)</x:t>
  </x:si>
  <x:si>
    <x:t xml:space="preserve">Fixed to aerolotl_custom:ANT_GP.1575.18.4.A.02_TAL</x:t>
  </x:si>
  <x:si>
    <x:t xml:space="preserve">Test points</x:t>
  </x:si>
  <x:si>
    <x:t xml:space="preserve">TP1-TP10 excluded from BOM</x:t>
  </x:si>
  <x:si>
    <x:t xml:space="preserve">Plated holes with no part to buy</x:t>
  </x:si>
  <x:si>
    <x:t xml:space="preserve">All parts</x:t>
  </x:si>
  <x:si>
    <x:t xml:space="preserve">LCSC Part, MPN, Manufacturer, Voltage, Dielectric, Tolerance, ESR/DCR and Power fields filled on every symbol (and mirrored into the PCB). The duplicate "LCSC" field was merged into "LCSC Part".</x:t>
  </x:si>
  <x:si>
    <x:t xml:space="preserve">LCSC/JLC part data checked 2026-10-02</x:t>
  </x:si>
  <x:si>
    <x:t xml:space="preserve">D9</x:t>
  </x:si>
  <x:si>
    <x:t xml:space="preserve">Removed an orphan duplicate D9 footprint (no schematic link). The linked D9 now sits in its place.</x:t>
  </x:si>
  <x:si>
    <x:t xml:space="preserve">PCB vs schematic sync</x:t>
  </x:si>
  <x:si>
    <x:t xml:space="preserve">#</x:t>
  </x:si>
  <x:si>
    <x:t xml:space="preserve">Suggested action</x:t>
  </x:si>
  <x:si>
    <x:t xml:space="preserve">Open KiCad, run Tools &gt; Update PCB from Schematic (F8), then ERC and DRC. I could not run KiCad from here. My own netlist and ERC-style checks are clean.</x:t>
  </x:si>
  <x:si>
    <x:t xml:space="preserve">F8 should show only net renames (KiCad names some nets differently from my sync). Re-pour zones. The In2 split (+VBAT right, +3V3 rest) was drawn for the old layout, so redraw it.</x:t>
  </x:si>
  <x:si>
    <x:t xml:space="preserve">1S ONLY on J2. Everything after Q1 is rated about 5.5-6V (TPS2116, TPS63802, SMBJ5.0A clamps at 9.2V).</x:t>
  </x:si>
  <x:si>
    <x:t xml:space="preserve">Consider a "1S Li-ion ONLY" silkscreen next to J2 and a keyed harness.</x:t>
  </x:si>
  <x:si>
    <x:t xml:space="preserve">TPS63802 layout (TI DS sec. 12)</x:t>
  </x:si>
  <x:si>
    <x:t xml:space="preserve">Keep the CIN-VIN-GND and COUT-VOUT-GND loops tight on the top layer, short wide L1/L2 traces, GND pin 8 straight into the In1 plane with several vias, FB trace away from L1.</x:t>
  </x:si>
  <x:si>
    <x:t xml:space="preserve">Firmware constants changed</x:t>
  </x:si>
  <x:si>
    <x:t xml:space="preserve">VOLT_SENSE x 1.4545 = VBAT. Igniter sense: open ~1.0V, e-match ~0V, firing ~2.9V. Low-battery cutoff around 3.3-3.4V at the cell.</x:t>
  </x:si>
  <x:si>
    <x:t xml:space="preserve">E-match: MJG BP Rocket Starter, 1.0 +/-0.2 ohm, no-fire 0.30A, all-fire 0.60A, recommended min 0.75A, nominal 1.0A, max test 40mA (electricmatch.com). 0.5A is BELOW the all-fire current.</x:t>
  </x:si>
  <x:si>
    <x:t xml:space="preserve">Design and test for &gt;= 0.75A at the lowest cell voltage, coldest temperature and longest leads. Continuity bias is ~0.26mA, well under the 40mA test limit.</x:t>
  </x:si>
  <x:si>
    <x:t xml:space="preserve">Firing current is now set by R45+R47 / R46+R48 (2R per channel): ~0.86A at 3.0V to ~1.27A at 4.2V with a 1.0R match and ~0.3R of wiring/PTC/FET/cell.</x:t>
  </x:si>
  <x:si>
    <x:t xml:space="preserve">Firmware: fire pulse &lt;= 1s (resistor pulse rating). Measure the real loop resistance with the actual leads (3 ft leads add resistance); at a 3.0V cutoff it must stay under ~0.5R for &gt;= 0.75A. J2 peak ~1.3A avionics + ~1.3A firing = ~2.6A, inside the XH 3A rating; the 1812L150 PTC (1.5A hold) no longer trips on a normal fire but does on a shorted output.</x:t>
  </x:si>
  <x:si>
    <x:t xml:space="preserve">Wrong-pack / surge protection is not solved by D1.</x:t>
  </x:si>
  <x:si>
    <x:t xml:space="preserve">Add an OVP switch after Q1 (TPS25947 eFuse or LTC4365 + 2 N-FETs), put the TVS on its input sized to its abs max, add a gate-source zener on Q1, and a bulk electrolytic at J2 to damp hot-plug ringing.</x:t>
  </x:si>
  <x:si>
    <x:t xml:space="preserve">BZ1 HNB09A03 is an active buzzer (it has its own oscillator). The MCU net is BUZZER_PWM on TIM1_CH1.</x:t>
  </x:si>
  <x:si>
    <x:t xml:space="preserve">Drive it on/off. It is a 3V part, so 3V3 is fine.</x:t>
  </x:si>
  <x:si>
    <x:t xml:space="preserve">U1 STM32G473VET6: 99 at JLC. DMP2022LSS-13: 651 at JLC (3 per board). ADXL375: low stock.</x:t>
  </x:si>
  <x:si>
    <x:t xml:space="preserve">Reserve parts on JLC before you submit.</x:t>
  </x:si>
  <x:si>
    <x:t xml:space="preserve">AE1 Taoglas GP.1575.18.4.A.02 is not in the JLC BOM.</x:t>
  </x:si>
  <x:si>
    <x:t xml:space="preserve">Order from Mouser (960-GP1575184A02) and hand-place.</x:t>
  </x:si>
  <x:si>
    <x:t xml:space="preserve">LoRa RF trace U10 pin 1 -&gt; J4 is about 6.7mm.</x:t>
  </x:si>
  <x:si>
    <x:t xml:space="preserve">Route it as 50R grounded coplanar waveguide over the In1 GND plane with via fencing. Keep other traces out from under the module.</x:t>
  </x:si>
  <x:si>
    <x:t xml:space="preserve">Standard-library footprints I added (L_Coilcraft_XxL4020 for the new L1, PinHeader_1x07, JST_PH_B2B, CP_EIA tantalum) came from an older copy of the KiCad library.</x:t>
  </x:si>
  <x:si>
    <x:t xml:space="preserve">In KiCad: Tools &gt; Update Footprints from Library on those refs.</x:t>
  </x:si>
  <x:si>
    <x:t xml:space="preserve">Old ref</x:t>
  </x:si>
  <x:si>
    <x:t xml:space="preserve">New ref</x:t>
  </x:si>
  <x:si>
    <x:t xml:space="preserve">(new part)</x:t>
  </x:si>
  <x:si>
    <x:t xml:space="preserve">C37</x:t>
  </x:si>
  <x:si>
    <x:t xml:space="preserve">C46</x:t>
  </x:si>
  <x:si>
    <x:t xml:space="preserve">C38</x:t>
  </x:si>
  <x:si>
    <x:t xml:space="preserve">J16</x:t>
  </x:si>
  <x:si>
    <x:t xml:space="preserve">R52</x:t>
  </x:si>
  <x:si>
    <x:t xml:space="preserve">R27</x:t>
  </x:si>
  <x:si>
    <x:t xml:space="preserve">TP11</x:t>
  </x:si>
  <x:si>
    <x:t xml:space="preserve">TP6</x:t>
  </x:si>
  <x:si>
    <x:t xml:space="preserve">U12</x:t>
  </x:si>
  <x:si>
    <x:t xml:space="preserve">J6</x:t>
  </x:si>
  <x:si>
    <x:t xml:space="preserve">J8</x:t>
  </x:si>
  <x:si>
    <x:t xml:space="preserve">C39</x:t>
  </x:si>
  <x:si>
    <x:t xml:space="preserve">C42</x:t>
  </x:si>
  <x:si>
    <x:t xml:space="preserve">C40</x:t>
  </x:si>
  <x:si>
    <x:t xml:space="preserve">C41</x:t>
  </x:si>
  <x:si>
    <x:t xml:space="preserve">C43</x:t>
  </x:si>
  <x:si>
    <x:t xml:space="preserve">C44</x:t>
  </x:si>
  <x:si>
    <x:t xml:space="preserve">D7</x:t>
  </x:si>
  <x:si>
    <x:t xml:space="preserve">D10</x:t>
  </x:si>
  <x:si>
    <x:t xml:space="preserve">D8</x:t>
  </x:si>
  <x:si>
    <x:t xml:space="preserve">F1</x:t>
  </x:si>
  <x:si>
    <x:t xml:space="preserve">F2</x:t>
  </x:si>
  <x:si>
    <x:t xml:space="preserve">J15</x:t>
  </x:si>
  <x:si>
    <x:t xml:space="preserve">Q4</x:t>
  </x:si>
  <x:si>
    <x:t xml:space="preserve">Q3</x:t>
  </x:si>
  <x:si>
    <x:t xml:space="preserve">Q6</x:t>
  </x:si>
  <x:si>
    <x:t xml:space="preserve">Q5</x:t>
  </x:si>
  <x:si>
    <x:t xml:space="preserve">R40</x:t>
  </x:si>
  <x:si>
    <x:t xml:space="preserve">R37</x:t>
  </x:si>
  <x:si>
    <x:t xml:space="preserve">R51</x:t>
  </x:si>
  <x:si>
    <x:t xml:space="preserve">R38</x:t>
  </x:si>
  <x:si>
    <x:t xml:space="preserve">R39</x:t>
  </x:si>
  <x:si>
    <x:t xml:space="preserve">R50</x:t>
  </x:si>
  <x:si>
    <x:t xml:space="preserve">R41</x:t>
  </x:si>
  <x:si>
    <x:t xml:space="preserve">R42</x:t>
  </x:si>
  <x:si>
    <x:t xml:space="preserve">R45</x:t>
  </x:si>
  <x:si>
    <x:t xml:space="preserve">R43</x:t>
  </x:si>
  <x:si>
    <x:t xml:space="preserve">R46</x:t>
  </x:si>
  <x:si>
    <x:t xml:space="preserve">R44</x:t>
  </x:si>
  <x:si>
    <x:t xml:space="preserve">R47</x:t>
  </x:si>
  <x:si>
    <x:t xml:space="preserve">R48</x:t>
  </x:si>
  <x:si>
    <x:t xml:space="preserve">R36</x:t>
  </x:si>
  <x:si>
    <x:t xml:space="preserve">R49</x:t>
  </x:si>
  <x:si>
    <x:t xml:space="preserve">R53</x:t>
  </x:si>
  <x:si>
    <x:t xml:space="preserve">R54</x:t>
  </x:si>
  <x:si>
    <x:t xml:space="preserve">R55</x:t>
  </x:si>
  <x:si>
    <x:t xml:space="preserve">R56</x:t>
  </x:si>
  <x:si>
    <x:t xml:space="preserve">TP7</x:t>
  </x:si>
  <x:si>
    <x:t xml:space="preserve">TP8</x:t>
  </x:si>
  <x:si>
    <x:t xml:space="preserve">TP9</x:t>
  </x:si>
  <x:si>
    <x:t xml:space="preserve">TP10</x:t>
  </x:si>
  <x:si>
    <x:t xml:space="preserve">C35</x:t>
  </x:si>
  <x:si>
    <x:t xml:space="preserve">C36</x:t>
  </x:si>
  <x:si>
    <x:t xml:space="preserve">Q2</x:t>
  </x:si>
  <x:si>
    <x:t xml:space="preserve">R21</x:t>
  </x:si>
  <x:si>
    <x:t xml:space="preserve">R22</x:t>
  </x:si>
  <x:si>
    <x:t xml:space="preserve">R23</x:t>
  </x:si>
  <x:si>
    <x:t xml:space="preserve">R24</x:t>
  </x:si>
  <x:si>
    <x:t xml:space="preserve">C2</x:t>
  </x:si>
  <x:si>
    <x:t xml:space="preserve">C3</x:t>
  </x:si>
  <x:si>
    <x:t xml:space="preserve">C4</x:t>
  </x:si>
  <x:si>
    <x:t xml:space="preserve">C5</x:t>
  </x:si>
  <x:si>
    <x:t xml:space="preserve">C12</x:t>
  </x:si>
  <x:si>
    <x:t xml:space="preserve">C13</x:t>
  </x:si>
  <x:si>
    <x:t xml:space="preserve">C6</x:t>
  </x:si>
  <x:si>
    <x:t xml:space="preserve">C7</x:t>
  </x:si>
  <x:si>
    <x:t xml:space="preserve">C8</x:t>
  </x:si>
  <x:si>
    <x:t xml:space="preserve">C11</x:t>
  </x:si>
  <x:si>
    <x:t xml:space="preserve">C15</x:t>
  </x:si>
  <x:si>
    <x:t xml:space="preserve">C16</x:t>
  </x:si>
  <x:si>
    <x:t xml:space="preserve">C17</x:t>
  </x:si>
  <x:si>
    <x:t xml:space="preserve">H1</x:t>
  </x:si>
  <x:si>
    <x:t xml:space="preserve">H2</x:t>
  </x:si>
  <x:si>
    <x:t xml:space="preserve">R3</x:t>
  </x:si>
  <x:si>
    <x:t xml:space="preserve">R2</x:t>
  </x:si>
  <x:si>
    <x:t xml:space="preserve">C18</x:t>
  </x:si>
  <x:si>
    <x:t xml:space="preserve">C26</x:t>
  </x:si>
  <x:si>
    <x:t xml:space="preserve">C22</x:t>
  </x:si>
  <x:si>
    <x:t xml:space="preserve">C23</x:t>
  </x:si>
  <x:si>
    <x:t xml:space="preserve">C25</x:t>
  </x:si>
  <x:si>
    <x:t xml:space="preserve">Q1</x:t>
  </x:si>
  <x:si>
    <x:t xml:space="preserve">R6</x:t>
  </x:si>
  <x:si>
    <x:t xml:space="preserve">R5</x:t>
  </x:si>
  <x:si>
    <x:t xml:space="preserve">R9</x:t>
  </x:si>
  <x:si>
    <x:t xml:space="preserve">R15</x:t>
  </x:si>
  <x:si>
    <x:t xml:space="preserve">TP1</x:t>
  </x:si>
  <x:si>
    <x:t xml:space="preserve">TP2</x:t>
  </x:si>
  <x:si>
    <x:t xml:space="preserve">TP3</x:t>
  </x:si>
  <x:si>
    <x:t xml:space="preserve">TP4</x:t>
  </x:si>
  <x:si>
    <x:t xml:space="preserve">TP5</x:t>
  </x:si>
  <x:si>
    <x:t xml:space="preserve">R33</x:t>
  </x:si>
  <x:si>
    <x:t xml:space="preserve">R28</x:t>
  </x:si>
  <x:si>
    <x:t xml:space="preserve">R32</x:t>
  </x:si>
  <x:si>
    <x:t xml:space="preserve">R29</x:t>
  </x:si>
  <x:si>
    <x:t xml:space="preserve">R34</x:t>
  </x:si>
  <x:si>
    <x:t xml:space="preserve">R30</x:t>
  </x:si>
  <x:si>
    <x:t xml:space="preserve">R35</x:t>
  </x:si>
  <x:si>
    <x:t xml:space="preserve">R31</x:t>
  </x:si>
  <x:si>
    <x:t xml:space="preserve">C31</x:t>
  </x:si>
  <x:si>
    <x:t xml:space="preserve">C27</x:t>
  </x:si>
  <x:si>
    <x:t xml:space="preserve">C32</x:t>
  </x:si>
  <x:si>
    <x:t xml:space="preserve">C29</x:t>
  </x:si>
  <x:si>
    <x:t xml:space="preserve">C30</x:t>
  </x:si>
  <x:si>
    <x:t xml:space="preserve">C33</x:t>
  </x:si>
  <x:si>
    <x:t xml:space="preserve">C34</x:t>
  </x:si>
  <x:si>
    <x:t xml:space="preserve">R17</x:t>
  </x:si>
  <x:si>
    <x:t xml:space="preserve">R16</x:t>
  </x:si>
  <x:si>
    <x:t xml:space="preserve">R18</x:t>
  </x:si>
  <x:si>
    <x:t xml:space="preserve">R4</x:t>
  </x:si>
  <x:si>
    <x:t xml:space="preserve">(deleted)</x:t>
  </x:si>
  <x:si>
    <x:t xml:space="preserve">power: LMR51430 buck</x:t>
  </x:si>
  <x:si>
    <x:t xml:space="preserve">power: 5.6uH buck inductor</x:t>
  </x:si>
  <x:si>
    <x:t xml:space="preserve">power: buck CBOOT</x:t>
  </x:si>
  <x:si>
    <x:t xml:space="preserve">power: buck CIN 10u/50V</x:t>
  </x:si>
  <x:si>
    <x:t xml:space="preserve">power: buck CIN 100n</x:t>
  </x:si>
  <x:si>
    <x:t xml:space="preserve">power: buck COUT 100u</x:t>
  </x:si>
  <x:si>
    <x:t xml:space="preserve">power: buck FB 100k</x:t>
  </x:si>
  <x:si>
    <x:t xml:space="preserve">power: buck FB 22k1</x:t>
  </x:si>
  <x:si>
    <x:t xml:space="preserve">power: AMS1117-3.3</x:t>
  </x:si>
  <x:si>
    <x:t xml:space="preserve">power: AMS1117 22u tantalum</x:t>
  </x:si>
</x:sst>
</file>

<file path=xl/styles.xml><?xml version="1.0" encoding="utf-8"?>
<x:styleSheet xmlns:x="http://schemas.openxmlformats.org/spreadsheetml/2006/main">
  <x:numFmts count="2">
    <x:numFmt numFmtId="164" formatCode="General"/>
    <x:numFmt numFmtId="165" formatCode="#,##0"/>
  </x:numFmts>
  <x:fonts count="7">
    <x:font>
      <x:sz val="11"/>
      <x:color theme="1"/>
      <x:name val="Calibri"/>
    </x:font>
    <x:font>
      <x:sz val="10"/>
      <x:name val="Arial"/>
    </x:font>
    <x:font>
      <x:sz val="10"/>
      <x:name val="Arial"/>
    </x:font>
    <x:font>
      <x:sz val="10"/>
      <x:name val="Arial"/>
    </x:font>
    <x:font>
      <x:b/>
      <x:sz val="11"/>
      <x:color rgb="FFFFFFFF"/>
      <x:name val="Arial"/>
    </x:font>
    <x:font>
      <x:sz val="10"/>
      <x:name val="Arial"/>
    </x:font>
    <x:font>
      <x:b/>
      <x:sz val="11"/>
      <x:name val="Arial"/>
    </x:font>
  </x:fonts>
  <x:fills count="3">
    <x:fill>
      <x:patternFill patternType="none"/>
    </x:fill>
    <x:fill>
      <x:patternFill patternType="gray125"/>
    </x:fill>
    <x:fill>
      <x:patternFill patternType="solid">
        <x:fgColor rgb="FF305496"/>
      </x:patternFill>
    </x:fill>
  </x:fills>
  <x:borders count="2">
    <x:border diagonalUp="0" diagonalDown="0"/>
    <x:border diagonalUp="0" diagonalDown="0">
      <x:bottom style="thin">
        <x:color rgb="FFBFBFBF"/>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5">
    <x:xf numFmtId="164" fontId="0" fillId="0" borderId="0" xfId="0" applyFont="0" applyBorder="0" applyAlignment="0">
      <x:alignment horizontal="general" vertical="bottom" wrapText="0"/>
    </x:xf>
    <x:xf numFmtId="164" fontId="4" fillId="2" borderId="0" xfId="0" applyFont="1" applyBorder="0" applyAlignment="1">
      <x:alignment horizontal="general" vertical="center" wrapText="1"/>
    </x:xf>
    <x:xf numFmtId="164" fontId="5" fillId="0" borderId="1" xfId="0" applyFont="1" applyBorder="1" applyAlignment="1">
      <x:alignment horizontal="general" vertical="top" wrapText="1"/>
    </x:xf>
    <x:xf numFmtId="165" fontId="5" fillId="0" borderId="1" xfId="0" applyFont="1" applyBorder="1" applyAlignment="1">
      <x:alignment horizontal="general" vertical="top" wrapText="1"/>
    </x:xf>
    <x:xf numFmtId="164" fontId="6" fillId="0" borderId="1" xfId="0" applyFont="1" applyBorder="1" applyAlignment="1">
      <x:alignment horizontal="general" vertical="top" wrapText="1"/>
    </x:xf>
  </x:cellXfs>
  <x:cellStyles count="6">
    <x:cellStyle name="Normal" xfId="0"/>
    <x:cellStyle name="Comma" xfId="15"/>
    <x:cellStyle name="Comma [0]" xfId="16"/>
    <x:cellStyle name="Currency" xfId="17"/>
    <x:cellStyle name="Currency [0]" xfId="18"/>
    <x:cellStyle name="Percent" xfId="19"/>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05496"/>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bd77e4b7dab47a9" /><Relationship Type="http://schemas.openxmlformats.org/officeDocument/2006/relationships/theme" Target="/xl/theme/theme1.xml" Id="R93c0bb5baa2342d7" /><Relationship Type="http://schemas.openxmlformats.org/officeDocument/2006/relationships/sharedStrings" Target="/xl/sharedStrings.xml" Id="Rc12617215fab4584" /><Relationship Type="http://schemas.openxmlformats.org/officeDocument/2006/relationships/worksheet" Target="/xl/worksheets/sheet1.xml" Id="R6c2aa78dd4e443a7" /><Relationship Type="http://schemas.openxmlformats.org/officeDocument/2006/relationships/worksheet" Target="/xl/worksheets/sheet2.xml" Id="Ra8dcda40060745a2" /><Relationship Type="http://schemas.openxmlformats.org/officeDocument/2006/relationships/worksheet" Target="/xl/worksheets/sheet3.xml" Id="R8a2049b5f2e0457b" /><Relationship Type="http://schemas.openxmlformats.org/officeDocument/2006/relationships/worksheet" Target="/xl/worksheets/sheet4.xml" Id="R854b8c5987a044d2" /><Relationship Type="http://schemas.openxmlformats.org/officeDocument/2006/relationships/worksheet" Target="/xl/worksheets/sheet5.xml" Id="R81e8027c2ccf402e" /><Relationship Type="http://schemas.openxmlformats.org/officeDocument/2006/relationships/worksheet" Target="/xl/worksheets/sheet6.xml" Id="R494fa209d22f46db"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 width="26" hidden="0" customWidth="1"/>
    <x:col min="2" max="2" width="6" hidden="0" customWidth="1"/>
    <x:col min="3" max="3" width="16" hidden="0" customWidth="1"/>
    <x:col min="4" max="4" width="30" hidden="0" customWidth="1"/>
    <x:col min="5" max="5" width="11" hidden="0" customWidth="1"/>
    <x:col min="6" max="6" width="26" hidden="0" customWidth="1"/>
    <x:col min="7" max="7" width="22" hidden="0" customWidth="1"/>
    <x:col min="8" max="8" width="9" hidden="0" customWidth="1"/>
    <x:col min="9" max="9" width="16" hidden="0" customWidth="1"/>
    <x:col min="10" max="10" width="10" hidden="0" customWidth="1"/>
    <x:col min="11" max="11" width="18" hidden="0" customWidth="1"/>
    <x:col min="12" max="12" width="9" hidden="0" customWidth="1"/>
    <x:col min="13" max="13" width="14" hidden="0" customWidth="1"/>
    <x:col min="14" max="14" width="12" hidden="0" customWidth="1"/>
    <x:col min="15" max="15" width="22" hidden="0" customWidth="1"/>
    <x:col min="16" max="16" width="9" hidden="0" customWidth="1"/>
    <x:col min="17" max="17" width="11" hidden="0" customWidth="1"/>
    <x:col min="18" max="18" width="70" hidden="0" customWidth="1"/>
  </x:cols>
  <x:sheetData>
    <x:row r="1" ht="52.20000076293945" hidden="0">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row>
    <x:row r="2" ht="15" hidden="0">
      <x:c r="A2" s="2" t="s">
        <x:v>18</x:v>
      </x:c>
      <x:c r="B2" s="2" t="n">
        <x:f aca="0">LEN(A2)-LEN(SUBSTITUTE(A2,",",""))+1</x:f>
        <x:v>1</x:v>
      </x:c>
      <x:c r="C2" s="2" t="s">
        <x:v>19</x:v>
      </x:c>
      <x:c r="D2" s="2" t="s">
        <x:v>20</x:v>
      </x:c>
      <x:c r="E2" s="2" t="s">
        <x:v>21</x:v>
      </x:c>
      <x:c r="F2" s="2" t="s">
        <x:v>19</x:v>
      </x:c>
      <x:c r="G2" s="2" t="s">
        <x:v>22</x:v>
      </x:c>
      <x:c r="H2" s="2"/>
      <x:c r="I2" s="2"/>
      <x:c r="J2" s="2"/>
      <x:c r="K2" s="2"/>
      <x:c r="L2" s="2"/>
      <x:c r="M2" s="2" t="s">
        <x:v>23</x:v>
      </x:c>
      <x:c r="N2" s="3" t="n">
        <x:v>44983</x:v>
      </x:c>
      <x:c r="O2" s="2" t="s">
        <x:v>24</x:v>
      </x:c>
      <x:c r="P2" s="2" t="s">
        <x:v>25</x:v>
      </x:c>
      <x:c r="Q2" s="2" t="s">
        <x:v>26</x:v>
      </x:c>
      <x:c r="R2" s="2" t="s">
        <x:v>27</x:v>
      </x:c>
    </x:row>
    <x:row r="3" ht="23.850000381469727" hidden="0">
      <x:c r="A3" s="2" t="s">
        <x:v>28</x:v>
      </x:c>
      <x:c r="B3" s="2" t="n">
        <x:f aca="0">LEN(A3)-LEN(SUBSTITUTE(A3,",",""))+1</x:f>
        <x:v>1</x:v>
      </x:c>
      <x:c r="C3" s="2" t="s">
        <x:v>29</x:v>
      </x:c>
      <x:c r="D3" s="2" t="s">
        <x:v>30</x:v>
      </x:c>
      <x:c r="E3" s="2" t="s">
        <x:v>31</x:v>
      </x:c>
      <x:c r="F3" s="2" t="s">
        <x:v>32</x:v>
      </x:c>
      <x:c r="G3" s="2" t="s">
        <x:v>33</x:v>
      </x:c>
      <x:c r="H3" s="2" t="s">
        <x:v>34</x:v>
      </x:c>
      <x:c r="I3" s="2" t="s">
        <x:v>35</x:v>
      </x:c>
      <x:c r="J3" s="2" t="s">
        <x:v>36</x:v>
      </x:c>
      <x:c r="K3" s="2"/>
      <x:c r="L3" s="2"/>
      <x:c r="M3" s="2" t="s">
        <x:v>23</x:v>
      </x:c>
      <x:c r="N3" s="3" t="n">
        <x:v>311410</x:v>
      </x:c>
      <x:c r="O3" s="2" t="s">
        <x:v>37</x:v>
      </x:c>
      <x:c r="P3" s="2" t="s">
        <x:v>25</x:v>
      </x:c>
      <x:c r="Q3" s="2" t="s">
        <x:v>38</x:v>
      </x:c>
      <x:c r="R3" s="2" t="s">
        <x:v>39</x:v>
      </x:c>
    </x:row>
    <x:row r="4" ht="35.04999923706055" hidden="0">
      <x:c r="A4" s="2" t="s">
        <x:v>40</x:v>
      </x:c>
      <x:c r="B4" s="2" t="n">
        <x:f aca="0">LEN(A4)-LEN(SUBSTITUTE(A4,",",""))+1</x:f>
        <x:v>18</x:v>
      </x:c>
      <x:c r="C4" s="2" t="s">
        <x:v>41</x:v>
      </x:c>
      <x:c r="D4" s="2" t="s">
        <x:v>42</x:v>
      </x:c>
      <x:c r="E4" s="2" t="s">
        <x:v>43</x:v>
      </x:c>
      <x:c r="F4" s="2" t="s">
        <x:v>44</x:v>
      </x:c>
      <x:c r="G4" s="2" t="s">
        <x:v>33</x:v>
      </x:c>
      <x:c r="H4" s="2" t="s">
        <x:v>45</x:v>
      </x:c>
      <x:c r="I4" s="2" t="s">
        <x:v>35</x:v>
      </x:c>
      <x:c r="J4" s="2" t="s">
        <x:v>36</x:v>
      </x:c>
      <x:c r="K4" s="2"/>
      <x:c r="L4" s="2"/>
      <x:c r="M4" s="2" t="s">
        <x:v>46</x:v>
      </x:c>
      <x:c r="N4" s="3" t="n">
        <x:v>21581667</x:v>
      </x:c>
      <x:c r="O4" s="2" t="s">
        <x:v>37</x:v>
      </x:c>
      <x:c r="P4" s="2" t="s">
        <x:v>25</x:v>
      </x:c>
      <x:c r="Q4" s="2" t="s">
        <x:v>38</x:v>
      </x:c>
      <x:c r="R4" s="2" t="s">
        <x:v>47</x:v>
      </x:c>
    </x:row>
    <x:row r="5" ht="23.850000381469727" hidden="0">
      <x:c r="A5" s="2" t="s">
        <x:v>48</x:v>
      </x:c>
      <x:c r="B5" s="2" t="n">
        <x:f aca="0">LEN(A5)-LEN(SUBSTITUTE(A5,",",""))+1</x:f>
        <x:v>3</x:v>
      </x:c>
      <x:c r="C5" s="2" t="s">
        <x:v>49</x:v>
      </x:c>
      <x:c r="D5" s="2" t="s">
        <x:v>50</x:v>
      </x:c>
      <x:c r="E5" s="2" t="s">
        <x:v>51</x:v>
      </x:c>
      <x:c r="F5" s="2" t="s">
        <x:v>52</x:v>
      </x:c>
      <x:c r="G5" s="2" t="s">
        <x:v>33</x:v>
      </x:c>
      <x:c r="H5" s="2" t="s">
        <x:v>34</x:v>
      </x:c>
      <x:c r="I5" s="2" t="s">
        <x:v>35</x:v>
      </x:c>
      <x:c r="J5" s="2" t="s">
        <x:v>36</x:v>
      </x:c>
      <x:c r="K5" s="2"/>
      <x:c r="L5" s="2"/>
      <x:c r="M5" s="2" t="s">
        <x:v>23</x:v>
      </x:c>
      <x:c r="N5" s="3" t="n">
        <x:v>266599</x:v>
      </x:c>
      <x:c r="O5" s="2" t="s">
        <x:v>37</x:v>
      </x:c>
      <x:c r="P5" s="2" t="s">
        <x:v>25</x:v>
      </x:c>
      <x:c r="Q5" s="2" t="s">
        <x:v>38</x:v>
      </x:c>
      <x:c r="R5" s="2" t="s">
        <x:v>53</x:v>
      </x:c>
    </x:row>
    <x:row r="6" ht="23.850000381469727" hidden="0">
      <x:c r="A6" s="2" t="s">
        <x:v>54</x:v>
      </x:c>
      <x:c r="B6" s="2" t="n">
        <x:f aca="0">LEN(A6)-LEN(SUBSTITUTE(A6,",",""))+1</x:f>
        <x:v>1</x:v>
      </x:c>
      <x:c r="C6" s="2" t="s">
        <x:v>55</x:v>
      </x:c>
      <x:c r="D6" s="2" t="s">
        <x:v>42</x:v>
      </x:c>
      <x:c r="E6" s="2" t="s">
        <x:v>56</x:v>
      </x:c>
      <x:c r="F6" s="2" t="s">
        <x:v>57</x:v>
      </x:c>
      <x:c r="G6" s="2" t="s">
        <x:v>33</x:v>
      </x:c>
      <x:c r="H6" s="2" t="s">
        <x:v>58</x:v>
      </x:c>
      <x:c r="I6" s="2" t="s">
        <x:v>35</x:v>
      </x:c>
      <x:c r="J6" s="2" t="s">
        <x:v>36</x:v>
      </x:c>
      <x:c r="K6" s="2"/>
      <x:c r="L6" s="2"/>
      <x:c r="M6" s="2" t="s">
        <x:v>46</x:v>
      </x:c>
      <x:c r="N6" s="3" t="n">
        <x:v>4033054</x:v>
      </x:c>
      <x:c r="O6" s="2" t="s">
        <x:v>37</x:v>
      </x:c>
      <x:c r="P6" s="2" t="s">
        <x:v>25</x:v>
      </x:c>
      <x:c r="Q6" s="2" t="s">
        <x:v>38</x:v>
      </x:c>
      <x:c r="R6" s="2" t="s">
        <x:v>59</x:v>
      </x:c>
    </x:row>
    <x:row r="7" ht="15" hidden="0">
      <x:c r="A7" s="2" t="s">
        <x:v>60</x:v>
      </x:c>
      <x:c r="B7" s="2" t="n">
        <x:f aca="0">LEN(A7)-LEN(SUBSTITUTE(A7,",",""))+1</x:f>
        <x:v>2</x:v>
      </x:c>
      <x:c r="C7" s="2" t="s">
        <x:v>61</x:v>
      </x:c>
      <x:c r="D7" s="2" t="s">
        <x:v>42</x:v>
      </x:c>
      <x:c r="E7" s="2" t="s">
        <x:v>62</x:v>
      </x:c>
      <x:c r="F7" s="2" t="s">
        <x:v>63</x:v>
      </x:c>
      <x:c r="G7" s="2" t="s">
        <x:v>64</x:v>
      </x:c>
      <x:c r="H7" s="2" t="s">
        <x:v>58</x:v>
      </x:c>
      <x:c r="I7" s="2" t="s">
        <x:v>65</x:v>
      </x:c>
      <x:c r="J7" s="2" t="s">
        <x:v>66</x:v>
      </x:c>
      <x:c r="K7" s="2"/>
      <x:c r="L7" s="2"/>
      <x:c r="M7" s="2" t="s">
        <x:v>46</x:v>
      </x:c>
      <x:c r="N7" s="3" t="n">
        <x:v>1431860</x:v>
      </x:c>
      <x:c r="O7" s="2" t="s">
        <x:v>37</x:v>
      </x:c>
      <x:c r="P7" s="2" t="s">
        <x:v>25</x:v>
      </x:c>
      <x:c r="Q7" s="2" t="s">
        <x:v>38</x:v>
      </x:c>
      <x:c r="R7" s="2" t="s">
        <x:v>67</x:v>
      </x:c>
    </x:row>
    <x:row r="8" ht="15" hidden="0">
      <x:c r="A8" s="2" t="s">
        <x:v>68</x:v>
      </x:c>
      <x:c r="B8" s="2" t="n">
        <x:f aca="0">LEN(A8)-LEN(SUBSTITUTE(A8,",",""))+1</x:f>
        <x:v>1</x:v>
      </x:c>
      <x:c r="C8" s="2" t="s">
        <x:v>41</x:v>
      </x:c>
      <x:c r="D8" s="2" t="s">
        <x:v>50</x:v>
      </x:c>
      <x:c r="E8" s="2" t="s">
        <x:v>69</x:v>
      </x:c>
      <x:c r="F8" s="2" t="s">
        <x:v>70</x:v>
      </x:c>
      <x:c r="G8" s="2" t="s">
        <x:v>71</x:v>
      </x:c>
      <x:c r="H8" s="2" t="s">
        <x:v>58</x:v>
      </x:c>
      <x:c r="I8" s="2" t="s">
        <x:v>35</x:v>
      </x:c>
      <x:c r="J8" s="2" t="s">
        <x:v>36</x:v>
      </x:c>
      <x:c r="K8" s="2"/>
      <x:c r="L8" s="2"/>
      <x:c r="M8" s="2" t="s">
        <x:v>46</x:v>
      </x:c>
      <x:c r="N8" s="3" t="n">
        <x:v>58141193</x:v>
      </x:c>
      <x:c r="O8" s="2" t="s">
        <x:v>37</x:v>
      </x:c>
      <x:c r="P8" s="2" t="s">
        <x:v>25</x:v>
      </x:c>
      <x:c r="Q8" s="2" t="s">
        <x:v>38</x:v>
      </x:c>
      <x:c r="R8" s="2"/>
    </x:row>
    <x:row r="9" ht="23.850000381469727" hidden="0">
      <x:c r="A9" s="2" t="s">
        <x:v>72</x:v>
      </x:c>
      <x:c r="B9" s="2" t="n">
        <x:f aca="0">LEN(A9)-LEN(SUBSTITUTE(A9,",",""))+1</x:f>
        <x:v>2</x:v>
      </x:c>
      <x:c r="C9" s="2" t="s">
        <x:v>73</x:v>
      </x:c>
      <x:c r="D9" s="2" t="s">
        <x:v>42</x:v>
      </x:c>
      <x:c r="E9" s="2" t="s">
        <x:v>74</x:v>
      </x:c>
      <x:c r="F9" s="2" t="s">
        <x:v>75</x:v>
      </x:c>
      <x:c r="G9" s="2" t="s">
        <x:v>64</x:v>
      </x:c>
      <x:c r="H9" s="2" t="s">
        <x:v>58</x:v>
      </x:c>
      <x:c r="I9" s="2" t="s">
        <x:v>65</x:v>
      </x:c>
      <x:c r="J9" s="2" t="s">
        <x:v>76</x:v>
      </x:c>
      <x:c r="K9" s="2"/>
      <x:c r="L9" s="2"/>
      <x:c r="M9" s="2" t="s">
        <x:v>77</x:v>
      </x:c>
      <x:c r="N9" s="3" t="n">
        <x:v>597482</x:v>
      </x:c>
      <x:c r="O9" s="2" t="s">
        <x:v>37</x:v>
      </x:c>
      <x:c r="P9" s="2" t="s">
        <x:v>25</x:v>
      </x:c>
      <x:c r="Q9" s="2" t="s">
        <x:v>38</x:v>
      </x:c>
      <x:c r="R9" s="2" t="s">
        <x:v>78</x:v>
      </x:c>
    </x:row>
    <x:row r="10" ht="35.04999923706055" hidden="0">
      <x:c r="A10" s="2" t="s">
        <x:v>79</x:v>
      </x:c>
      <x:c r="B10" s="2" t="n">
        <x:f aca="0">LEN(A10)-LEN(SUBSTITUTE(A10,",",""))+1</x:f>
        <x:v>3</x:v>
      </x:c>
      <x:c r="C10" s="2" t="s">
        <x:v>80</x:v>
      </x:c>
      <x:c r="D10" s="2" t="s">
        <x:v>30</x:v>
      </x:c>
      <x:c r="E10" s="2" t="s">
        <x:v>81</x:v>
      </x:c>
      <x:c r="F10" s="2" t="s">
        <x:v>82</x:v>
      </x:c>
      <x:c r="G10" s="2" t="s">
        <x:v>33</x:v>
      </x:c>
      <x:c r="H10" s="2" t="s">
        <x:v>34</x:v>
      </x:c>
      <x:c r="I10" s="2" t="s">
        <x:v>83</x:v>
      </x:c>
      <x:c r="J10" s="2" t="s">
        <x:v>36</x:v>
      </x:c>
      <x:c r="K10" s="2"/>
      <x:c r="L10" s="2"/>
      <x:c r="M10" s="2" t="s">
        <x:v>46</x:v>
      </x:c>
      <x:c r="N10" s="3" t="n">
        <x:v>4951626</x:v>
      </x:c>
      <x:c r="O10" s="2" t="s">
        <x:v>37</x:v>
      </x:c>
      <x:c r="P10" s="2" t="s">
        <x:v>25</x:v>
      </x:c>
      <x:c r="Q10" s="2" t="s">
        <x:v>84</x:v>
      </x:c>
      <x:c r="R10" s="2" t="s">
        <x:v>85</x:v>
      </x:c>
    </x:row>
    <x:row r="11" ht="23.850000381469727" hidden="0">
      <x:c r="A11" s="2" t="s">
        <x:v>86</x:v>
      </x:c>
      <x:c r="B11" s="2" t="n">
        <x:f aca="0">LEN(A11)-LEN(SUBSTITUTE(A11,",",""))+1</x:f>
        <x:v>2</x:v>
      </x:c>
      <x:c r="C11" s="2" t="s">
        <x:v>49</x:v>
      </x:c>
      <x:c r="D11" s="2" t="s">
        <x:v>42</x:v>
      </x:c>
      <x:c r="E11" s="2" t="s">
        <x:v>87</x:v>
      </x:c>
      <x:c r="F11" s="2" t="s">
        <x:v>88</x:v>
      </x:c>
      <x:c r="G11" s="2" t="s">
        <x:v>33</x:v>
      </x:c>
      <x:c r="H11" s="2" t="s">
        <x:v>34</x:v>
      </x:c>
      <x:c r="I11" s="2" t="s">
        <x:v>83</x:v>
      </x:c>
      <x:c r="J11" s="2" t="s">
        <x:v>36</x:v>
      </x:c>
      <x:c r="K11" s="2"/>
      <x:c r="L11" s="2"/>
      <x:c r="M11" s="2" t="s">
        <x:v>46</x:v>
      </x:c>
      <x:c r="N11" s="3" t="n">
        <x:v>5613299</x:v>
      </x:c>
      <x:c r="O11" s="2" t="s">
        <x:v>37</x:v>
      </x:c>
      <x:c r="P11" s="2" t="s">
        <x:v>25</x:v>
      </x:c>
      <x:c r="Q11" s="2" t="s">
        <x:v>84</x:v>
      </x:c>
      <x:c r="R11" s="2" t="s">
        <x:v>89</x:v>
      </x:c>
    </x:row>
    <x:row r="12" ht="23.850000381469727" hidden="0">
      <x:c r="A12" s="2" t="s">
        <x:v>90</x:v>
      </x:c>
      <x:c r="B12" s="2" t="n">
        <x:f aca="0">LEN(A12)-LEN(SUBSTITUTE(A12,",",""))+1</x:f>
        <x:v>3</x:v>
      </x:c>
      <x:c r="C12" s="2" t="s">
        <x:v>91</x:v>
      </x:c>
      <x:c r="D12" s="2" t="s">
        <x:v>30</x:v>
      </x:c>
      <x:c r="E12" s="2" t="s">
        <x:v>92</x:v>
      </x:c>
      <x:c r="F12" s="2" t="s">
        <x:v>93</x:v>
      </x:c>
      <x:c r="G12" s="2" t="s">
        <x:v>33</x:v>
      </x:c>
      <x:c r="H12" s="2" t="s">
        <x:v>34</x:v>
      </x:c>
      <x:c r="I12" s="2" t="s">
        <x:v>83</x:v>
      </x:c>
      <x:c r="J12" s="2" t="s">
        <x:v>94</x:v>
      </x:c>
      <x:c r="K12" s="2"/>
      <x:c r="L12" s="2"/>
      <x:c r="M12" s="2" t="s">
        <x:v>46</x:v>
      </x:c>
      <x:c r="N12" s="3" t="n">
        <x:v>3990887</x:v>
      </x:c>
      <x:c r="O12" s="2" t="s">
        <x:v>37</x:v>
      </x:c>
      <x:c r="P12" s="2" t="s">
        <x:v>25</x:v>
      </x:c>
      <x:c r="Q12" s="2" t="s">
        <x:v>84</x:v>
      </x:c>
      <x:c r="R12" s="2" t="s">
        <x:v>95</x:v>
      </x:c>
    </x:row>
    <x:row r="13" ht="23.850000381469727" hidden="0">
      <x:c r="A13" s="2" t="s">
        <x:v>96</x:v>
      </x:c>
      <x:c r="B13" s="2" t="n">
        <x:f aca="0">LEN(A13)-LEN(SUBSTITUTE(A13,",",""))+1</x:f>
        <x:v>1</x:v>
      </x:c>
      <x:c r="C13" s="2" t="s">
        <x:v>97</x:v>
      </x:c>
      <x:c r="D13" s="2" t="s">
        <x:v>98</x:v>
      </x:c>
      <x:c r="E13" s="2" t="s">
        <x:v>99</x:v>
      </x:c>
      <x:c r="F13" s="2" t="s">
        <x:v>100</x:v>
      </x:c>
      <x:c r="G13" s="2" t="s">
        <x:v>33</x:v>
      </x:c>
      <x:c r="H13" s="2" t="s">
        <x:v>101</x:v>
      </x:c>
      <x:c r="I13" s="2" t="s">
        <x:v>83</x:v>
      </x:c>
      <x:c r="J13" s="2" t="s">
        <x:v>94</x:v>
      </x:c>
      <x:c r="K13" s="2"/>
      <x:c r="L13" s="2"/>
      <x:c r="M13" s="2" t="s">
        <x:v>46</x:v>
      </x:c>
      <x:c r="N13" s="3" t="n">
        <x:v>1940643</x:v>
      </x:c>
      <x:c r="O13" s="2" t="s">
        <x:v>37</x:v>
      </x:c>
      <x:c r="P13" s="2" t="s">
        <x:v>25</x:v>
      </x:c>
      <x:c r="Q13" s="2" t="s">
        <x:v>84</x:v>
      </x:c>
      <x:c r="R13" s="2" t="s">
        <x:v>102</x:v>
      </x:c>
    </x:row>
    <x:row r="14" ht="23.850000381469727" hidden="0">
      <x:c r="A14" s="2" t="s">
        <x:v>103</x:v>
      </x:c>
      <x:c r="B14" s="2" t="n">
        <x:f aca="0">LEN(A14)-LEN(SUBSTITUTE(A14,",",""))+1</x:f>
        <x:v>1</x:v>
      </x:c>
      <x:c r="C14" s="2" t="s">
        <x:v>80</x:v>
      </x:c>
      <x:c r="D14" s="2" t="s">
        <x:v>50</x:v>
      </x:c>
      <x:c r="E14" s="2" t="s">
        <x:v>104</x:v>
      </x:c>
      <x:c r="F14" s="2" t="s">
        <x:v>105</x:v>
      </x:c>
      <x:c r="G14" s="2" t="s">
        <x:v>33</x:v>
      </x:c>
      <x:c r="H14" s="2" t="s">
        <x:v>106</x:v>
      </x:c>
      <x:c r="I14" s="2" t="s">
        <x:v>83</x:v>
      </x:c>
      <x:c r="J14" s="2" t="s">
        <x:v>36</x:v>
      </x:c>
      <x:c r="K14" s="2"/>
      <x:c r="L14" s="2"/>
      <x:c r="M14" s="2" t="s">
        <x:v>46</x:v>
      </x:c>
      <x:c r="N14" s="3" t="n">
        <x:v>10315650</x:v>
      </x:c>
      <x:c r="O14" s="2" t="s">
        <x:v>37</x:v>
      </x:c>
      <x:c r="P14" s="2" t="s">
        <x:v>25</x:v>
      </x:c>
      <x:c r="Q14" s="2" t="s">
        <x:v>107</x:v>
      </x:c>
      <x:c r="R14" s="2"/>
    </x:row>
    <x:row r="15" ht="15" hidden="0">
      <x:c r="A15" s="2" t="s">
        <x:v>108</x:v>
      </x:c>
      <x:c r="B15" s="2" t="n">
        <x:f aca="0">LEN(A15)-LEN(SUBSTITUTE(A15,",",""))+1</x:f>
        <x:v>2</x:v>
      </x:c>
      <x:c r="C15" s="2" t="s">
        <x:v>49</x:v>
      </x:c>
      <x:c r="D15" s="2" t="s">
        <x:v>109</x:v>
      </x:c>
      <x:c r="E15" s="2" t="s">
        <x:v>110</x:v>
      </x:c>
      <x:c r="F15" s="2" t="s">
        <x:v>111</x:v>
      </x:c>
      <x:c r="G15" s="2" t="s">
        <x:v>112</x:v>
      </x:c>
      <x:c r="H15" s="2" t="s">
        <x:v>106</x:v>
      </x:c>
      <x:c r="I15" s="2" t="s">
        <x:v>113</x:v>
      </x:c>
      <x:c r="J15" s="2" t="s">
        <x:v>36</x:v>
      </x:c>
      <x:c r="K15" s="2" t="s">
        <x:v>114</x:v>
      </x:c>
      <x:c r="L15" s="2"/>
      <x:c r="M15" s="2" t="s">
        <x:v>23</x:v>
      </x:c>
      <x:c r="N15" s="3" t="n">
        <x:v>2570</x:v>
      </x:c>
      <x:c r="O15" s="2" t="s">
        <x:v>37</x:v>
      </x:c>
      <x:c r="P15" s="2" t="s">
        <x:v>25</x:v>
      </x:c>
      <x:c r="Q15" s="2" t="s">
        <x:v>107</x:v>
      </x:c>
      <x:c r="R15" s="2" t="s">
        <x:v>115</x:v>
      </x:c>
    </x:row>
    <x:row r="16" ht="23.850000381469727" hidden="0">
      <x:c r="A16" s="2" t="s">
        <x:v>116</x:v>
      </x:c>
      <x:c r="B16" s="2" t="n">
        <x:f aca="0">LEN(A16)-LEN(SUBSTITUTE(A16,",",""))+1</x:f>
        <x:v>2</x:v>
      </x:c>
      <x:c r="C16" s="2" t="s">
        <x:v>117</x:v>
      </x:c>
      <x:c r="D16" s="2" t="s">
        <x:v>50</x:v>
      </x:c>
      <x:c r="E16" s="2" t="s">
        <x:v>118</x:v>
      </x:c>
      <x:c r="F16" s="2" t="s">
        <x:v>119</x:v>
      </x:c>
      <x:c r="G16" s="2" t="s">
        <x:v>71</x:v>
      </x:c>
      <x:c r="H16" s="2" t="s">
        <x:v>58</x:v>
      </x:c>
      <x:c r="I16" s="2" t="s">
        <x:v>35</x:v>
      </x:c>
      <x:c r="J16" s="2" t="s">
        <x:v>36</x:v>
      </x:c>
      <x:c r="K16" s="2"/>
      <x:c r="L16" s="2"/>
      <x:c r="M16" s="2" t="s">
        <x:v>23</x:v>
      </x:c>
      <x:c r="N16" s="3" t="n">
        <x:v>607110</x:v>
      </x:c>
      <x:c r="O16" s="2" t="s">
        <x:v>37</x:v>
      </x:c>
      <x:c r="P16" s="2" t="s">
        <x:v>25</x:v>
      </x:c>
      <x:c r="Q16" s="2" t="s">
        <x:v>120</x:v>
      </x:c>
      <x:c r="R16" s="2" t="s">
        <x:v>121</x:v>
      </x:c>
    </x:row>
    <x:row r="17" ht="35.04999923706055" hidden="0">
      <x:c r="A17" s="2" t="s">
        <x:v>122</x:v>
      </x:c>
      <x:c r="B17" s="2" t="n">
        <x:f aca="0">LEN(A17)-LEN(SUBSTITUTE(A17,",",""))+1</x:f>
        <x:v>2</x:v>
      </x:c>
      <x:c r="C17" s="2" t="s">
        <x:v>123</x:v>
      </x:c>
      <x:c r="D17" s="2" t="s">
        <x:v>124</x:v>
      </x:c>
      <x:c r="E17" s="2" t="s">
        <x:v>125</x:v>
      </x:c>
      <x:c r="F17" s="2" t="s">
        <x:v>126</x:v>
      </x:c>
      <x:c r="G17" s="2" t="s">
        <x:v>127</x:v>
      </x:c>
      <x:c r="H17" s="2" t="s">
        <x:v>34</x:v>
      </x:c>
      <x:c r="I17" s="2" t="s">
        <x:v>128</x:v>
      </x:c>
      <x:c r="J17" s="2" t="s">
        <x:v>94</x:v>
      </x:c>
      <x:c r="K17" s="2" t="s">
        <x:v>129</x:v>
      </x:c>
      <x:c r="L17" s="2"/>
      <x:c r="M17" s="2" t="s">
        <x:v>23</x:v>
      </x:c>
      <x:c r="N17" s="3" t="n">
        <x:v>1527</x:v>
      </x:c>
      <x:c r="O17" s="2" t="s">
        <x:v>37</x:v>
      </x:c>
      <x:c r="P17" s="2" t="s">
        <x:v>25</x:v>
      </x:c>
      <x:c r="Q17" s="2" t="s">
        <x:v>120</x:v>
      </x:c>
      <x:c r="R17" s="2" t="s">
        <x:v>130</x:v>
      </x:c>
    </x:row>
    <x:row r="18" ht="23.850000381469727" hidden="0">
      <x:c r="A18" s="2" t="s">
        <x:v>131</x:v>
      </x:c>
      <x:c r="B18" s="2" t="n">
        <x:f aca="0">LEN(A18)-LEN(SUBSTITUTE(A18,",",""))+1</x:f>
        <x:v>1</x:v>
      </x:c>
      <x:c r="C18" s="2" t="s">
        <x:v>132</x:v>
      </x:c>
      <x:c r="D18" s="2" t="s">
        <x:v>98</x:v>
      </x:c>
      <x:c r="E18" s="2" t="s">
        <x:v>133</x:v>
      </x:c>
      <x:c r="F18" s="2" t="s">
        <x:v>134</x:v>
      </x:c>
      <x:c r="G18" s="2" t="s">
        <x:v>33</x:v>
      </x:c>
      <x:c r="H18" s="2" t="s">
        <x:v>106</x:v>
      </x:c>
      <x:c r="I18" s="2" t="s">
        <x:v>83</x:v>
      </x:c>
      <x:c r="J18" s="2" t="s">
        <x:v>94</x:v>
      </x:c>
      <x:c r="K18" s="2"/>
      <x:c r="L18" s="2"/>
      <x:c r="M18" s="2" t="s">
        <x:v>46</x:v>
      </x:c>
      <x:c r="N18" s="3" t="n">
        <x:v>296901</x:v>
      </x:c>
      <x:c r="O18" s="2" t="s">
        <x:v>37</x:v>
      </x:c>
      <x:c r="P18" s="2" t="s">
        <x:v>25</x:v>
      </x:c>
      <x:c r="Q18" s="2" t="s">
        <x:v>135</x:v>
      </x:c>
      <x:c r="R18" s="2" t="s">
        <x:v>136</x:v>
      </x:c>
    </x:row>
    <x:row r="19" ht="46.25" hidden="0">
      <x:c r="A19" s="2" t="s">
        <x:v>137</x:v>
      </x:c>
      <x:c r="B19" s="2" t="n">
        <x:f aca="0">LEN(A19)-LEN(SUBSTITUTE(A19,",",""))+1</x:f>
        <x:v>1</x:v>
      </x:c>
      <x:c r="C19" s="2" t="s">
        <x:v>138</x:v>
      </x:c>
      <x:c r="D19" s="2" t="s">
        <x:v>139</x:v>
      </x:c>
      <x:c r="E19" s="2" t="s">
        <x:v>140</x:v>
      </x:c>
      <x:c r="F19" s="2" t="s">
        <x:v>138</x:v>
      </x:c>
      <x:c r="G19" s="2" t="s">
        <x:v>141</x:v>
      </x:c>
      <x:c r="H19" s="2"/>
      <x:c r="I19" s="2"/>
      <x:c r="J19" s="2"/>
      <x:c r="K19" s="2"/>
      <x:c r="L19" s="2"/>
      <x:c r="M19" s="2" t="s">
        <x:v>23</x:v>
      </x:c>
      <x:c r="N19" s="3" t="n">
        <x:v>113601</x:v>
      </x:c>
      <x:c r="O19" s="2" t="s">
        <x:v>37</x:v>
      </x:c>
      <x:c r="P19" s="2" t="s">
        <x:v>25</x:v>
      </x:c>
      <x:c r="Q19" s="2" t="s">
        <x:v>84</x:v>
      </x:c>
      <x:c r="R19" s="2" t="s">
        <x:v>142</x:v>
      </x:c>
    </x:row>
    <x:row r="20" ht="23.850000381469727" hidden="0">
      <x:c r="A20" s="2" t="s">
        <x:v>143</x:v>
      </x:c>
      <x:c r="B20" s="2" t="n">
        <x:f aca="0">LEN(A20)-LEN(SUBSTITUTE(A20,",",""))+1</x:f>
        <x:v>1</x:v>
      </x:c>
      <x:c r="C20" s="2" t="s">
        <x:v>144</x:v>
      </x:c>
      <x:c r="D20" s="2" t="s">
        <x:v>145</x:v>
      </x:c>
      <x:c r="E20" s="2" t="s">
        <x:v>146</x:v>
      </x:c>
      <x:c r="F20" s="2" t="s">
        <x:v>147</x:v>
      </x:c>
      <x:c r="G20" s="2" t="s">
        <x:v>148</x:v>
      </x:c>
      <x:c r="H20" s="2"/>
      <x:c r="I20" s="2"/>
      <x:c r="J20" s="2"/>
      <x:c r="K20" s="2"/>
      <x:c r="L20" s="2"/>
      <x:c r="M20" s="2" t="s">
        <x:v>23</x:v>
      </x:c>
      <x:c r="N20" s="3" t="n">
        <x:v>460049</x:v>
      </x:c>
      <x:c r="O20" s="2" t="s">
        <x:v>37</x:v>
      </x:c>
      <x:c r="P20" s="2" t="s">
        <x:v>25</x:v>
      </x:c>
      <x:c r="Q20" s="2" t="s">
        <x:v>26</x:v>
      </x:c>
      <x:c r="R20" s="2" t="s">
        <x:v>149</x:v>
      </x:c>
    </x:row>
    <x:row r="21" ht="15" hidden="0">
      <x:c r="A21" s="2" t="s">
        <x:v>150</x:v>
      </x:c>
      <x:c r="B21" s="2" t="n">
        <x:f aca="0">LEN(A21)-LEN(SUBSTITUTE(A21,",",""))+1</x:f>
        <x:v>1</x:v>
      </x:c>
      <x:c r="C21" s="2" t="s">
        <x:v>151</x:v>
      </x:c>
      <x:c r="D21" s="2" t="s">
        <x:v>152</x:v>
      </x:c>
      <x:c r="E21" s="2" t="s">
        <x:v>153</x:v>
      </x:c>
      <x:c r="F21" s="2" t="s">
        <x:v>154</x:v>
      </x:c>
      <x:c r="G21" s="2" t="s">
        <x:v>155</x:v>
      </x:c>
      <x:c r="H21" s="2"/>
      <x:c r="I21" s="2"/>
      <x:c r="J21" s="2"/>
      <x:c r="K21" s="2"/>
      <x:c r="L21" s="2"/>
      <x:c r="M21" s="2" t="s">
        <x:v>46</x:v>
      </x:c>
      <x:c r="N21" s="3" t="n">
        <x:v>389526</x:v>
      </x:c>
      <x:c r="O21" s="2" t="s">
        <x:v>37</x:v>
      </x:c>
      <x:c r="P21" s="2" t="s">
        <x:v>25</x:v>
      </x:c>
      <x:c r="Q21" s="2" t="s">
        <x:v>26</x:v>
      </x:c>
      <x:c r="R21" s="2"/>
    </x:row>
    <x:row r="22" ht="15" hidden="0">
      <x:c r="A22" s="2" t="s">
        <x:v>156</x:v>
      </x:c>
      <x:c r="B22" s="2" t="n">
        <x:f aca="0">LEN(A22)-LEN(SUBSTITUTE(A22,",",""))+1</x:f>
        <x:v>1</x:v>
      </x:c>
      <x:c r="C22" s="2" t="s">
        <x:v>157</x:v>
      </x:c>
      <x:c r="D22" s="2" t="s">
        <x:v>152</x:v>
      </x:c>
      <x:c r="E22" s="2" t="s">
        <x:v>153</x:v>
      </x:c>
      <x:c r="F22" s="2" t="s">
        <x:v>154</x:v>
      </x:c>
      <x:c r="G22" s="2" t="s">
        <x:v>155</x:v>
      </x:c>
      <x:c r="H22" s="2"/>
      <x:c r="I22" s="2"/>
      <x:c r="J22" s="2"/>
      <x:c r="K22" s="2"/>
      <x:c r="L22" s="2"/>
      <x:c r="M22" s="2" t="s">
        <x:v>46</x:v>
      </x:c>
      <x:c r="N22" s="3" t="n">
        <x:v>389526</x:v>
      </x:c>
      <x:c r="O22" s="2" t="s">
        <x:v>37</x:v>
      </x:c>
      <x:c r="P22" s="2" t="s">
        <x:v>25</x:v>
      </x:c>
      <x:c r="Q22" s="2" t="s">
        <x:v>26</x:v>
      </x:c>
      <x:c r="R22" s="2"/>
    </x:row>
    <x:row r="23" ht="15" hidden="0">
      <x:c r="A23" s="2" t="s">
        <x:v>158</x:v>
      </x:c>
      <x:c r="B23" s="2" t="n">
        <x:f aca="0">LEN(A23)-LEN(SUBSTITUTE(A23,",",""))+1</x:f>
        <x:v>1</x:v>
      </x:c>
      <x:c r="C23" s="2" t="s">
        <x:v>159</x:v>
      </x:c>
      <x:c r="D23" s="2" t="s">
        <x:v>152</x:v>
      </x:c>
      <x:c r="E23" s="2" t="s">
        <x:v>153</x:v>
      </x:c>
      <x:c r="F23" s="2" t="s">
        <x:v>154</x:v>
      </x:c>
      <x:c r="G23" s="2" t="s">
        <x:v>155</x:v>
      </x:c>
      <x:c r="H23" s="2"/>
      <x:c r="I23" s="2"/>
      <x:c r="J23" s="2"/>
      <x:c r="K23" s="2"/>
      <x:c r="L23" s="2"/>
      <x:c r="M23" s="2" t="s">
        <x:v>46</x:v>
      </x:c>
      <x:c r="N23" s="3" t="n">
        <x:v>389526</x:v>
      </x:c>
      <x:c r="O23" s="2" t="s">
        <x:v>37</x:v>
      </x:c>
      <x:c r="P23" s="2" t="s">
        <x:v>25</x:v>
      </x:c>
      <x:c r="Q23" s="2" t="s">
        <x:v>26</x:v>
      </x:c>
      <x:c r="R23" s="2"/>
    </x:row>
    <x:row r="24" ht="15" hidden="0">
      <x:c r="A24" s="2" t="s">
        <x:v>160</x:v>
      </x:c>
      <x:c r="B24" s="2" t="n">
        <x:f aca="0">LEN(A24)-LEN(SUBSTITUTE(A24,",",""))+1</x:f>
        <x:v>1</x:v>
      </x:c>
      <x:c r="C24" s="2" t="s">
        <x:v>161</x:v>
      </x:c>
      <x:c r="D24" s="2" t="s">
        <x:v>152</x:v>
      </x:c>
      <x:c r="E24" s="2" t="s">
        <x:v>153</x:v>
      </x:c>
      <x:c r="F24" s="2" t="s">
        <x:v>154</x:v>
      </x:c>
      <x:c r="G24" s="2" t="s">
        <x:v>155</x:v>
      </x:c>
      <x:c r="H24" s="2"/>
      <x:c r="I24" s="2"/>
      <x:c r="J24" s="2"/>
      <x:c r="K24" s="2"/>
      <x:c r="L24" s="2"/>
      <x:c r="M24" s="2" t="s">
        <x:v>46</x:v>
      </x:c>
      <x:c r="N24" s="3" t="n">
        <x:v>389526</x:v>
      </x:c>
      <x:c r="O24" s="2" t="s">
        <x:v>37</x:v>
      </x:c>
      <x:c r="P24" s="2" t="s">
        <x:v>25</x:v>
      </x:c>
      <x:c r="Q24" s="2" t="s">
        <x:v>26</x:v>
      </x:c>
      <x:c r="R24" s="2"/>
    </x:row>
    <x:row r="25" ht="15" hidden="0">
      <x:c r="A25" s="2" t="s">
        <x:v>162</x:v>
      </x:c>
      <x:c r="B25" s="2" t="n">
        <x:f aca="0">LEN(A25)-LEN(SUBSTITUTE(A25,",",""))+1</x:f>
        <x:v>2</x:v>
      </x:c>
      <x:c r="C25" s="2" t="s">
        <x:v>163</x:v>
      </x:c>
      <x:c r="D25" s="2" t="s">
        <x:v>164</x:v>
      </x:c>
      <x:c r="E25" s="2" t="s">
        <x:v>165</x:v>
      </x:c>
      <x:c r="F25" s="2" t="s">
        <x:v>166</x:v>
      </x:c>
      <x:c r="G25" s="2" t="s">
        <x:v>155</x:v>
      </x:c>
      <x:c r="H25" s="2"/>
      <x:c r="I25" s="2"/>
      <x:c r="J25" s="2"/>
      <x:c r="K25" s="2"/>
      <x:c r="L25" s="2"/>
      <x:c r="M25" s="2" t="s">
        <x:v>46</x:v>
      </x:c>
      <x:c r="N25" s="3" t="n">
        <x:v>4815898</x:v>
      </x:c>
      <x:c r="O25" s="2" t="s">
        <x:v>37</x:v>
      </x:c>
      <x:c r="P25" s="2" t="s">
        <x:v>25</x:v>
      </x:c>
      <x:c r="Q25" s="2" t="s">
        <x:v>120</x:v>
      </x:c>
      <x:c r="R25" s="2"/>
    </x:row>
    <x:row r="26" ht="15" hidden="0">
      <x:c r="A26" s="2" t="s">
        <x:v>167</x:v>
      </x:c>
      <x:c r="B26" s="2" t="n">
        <x:f aca="0">LEN(A26)-LEN(SUBSTITUTE(A26,",",""))+1</x:f>
        <x:v>2</x:v>
      </x:c>
      <x:c r="C26" s="2" t="s">
        <x:v>168</x:v>
      </x:c>
      <x:c r="D26" s="2" t="s">
        <x:v>169</x:v>
      </x:c>
      <x:c r="E26" s="2" t="s">
        <x:v>170</x:v>
      </x:c>
      <x:c r="F26" s="2" t="s">
        <x:v>168</x:v>
      </x:c>
      <x:c r="G26" s="2" t="s">
        <x:v>171</x:v>
      </x:c>
      <x:c r="H26" s="2"/>
      <x:c r="I26" s="2"/>
      <x:c r="J26" s="2"/>
      <x:c r="K26" s="2"/>
      <x:c r="L26" s="2"/>
      <x:c r="M26" s="2" t="s">
        <x:v>46</x:v>
      </x:c>
      <x:c r="N26" s="3" t="n">
        <x:v>5168664</x:v>
      </x:c>
      <x:c r="O26" s="2" t="s">
        <x:v>37</x:v>
      </x:c>
      <x:c r="P26" s="2" t="s">
        <x:v>25</x:v>
      </x:c>
      <x:c r="Q26" s="2" t="s">
        <x:v>120</x:v>
      </x:c>
      <x:c r="R26" s="2"/>
    </x:row>
    <x:row r="27" ht="15" hidden="0">
      <x:c r="A27" s="2" t="s">
        <x:v>172</x:v>
      </x:c>
      <x:c r="B27" s="2" t="n">
        <x:f aca="0">LEN(A27)-LEN(SUBSTITUTE(A27,",",""))+1</x:f>
        <x:v>2</x:v>
      </x:c>
      <x:c r="C27" s="2" t="s">
        <x:v>173</x:v>
      </x:c>
      <x:c r="D27" s="2" t="s">
        <x:v>174</x:v>
      </x:c>
      <x:c r="E27" s="2" t="s">
        <x:v>175</x:v>
      </x:c>
      <x:c r="F27" s="2" t="s">
        <x:v>173</x:v>
      </x:c>
      <x:c r="G27" s="2" t="s">
        <x:v>176</x:v>
      </x:c>
      <x:c r="H27" s="2"/>
      <x:c r="I27" s="2"/>
      <x:c r="J27" s="2"/>
      <x:c r="K27" s="2"/>
      <x:c r="L27" s="2"/>
      <x:c r="M27" s="2" t="s">
        <x:v>23</x:v>
      </x:c>
      <x:c r="N27" s="3" t="n">
        <x:v>14071</x:v>
      </x:c>
      <x:c r="O27" s="2" t="s">
        <x:v>37</x:v>
      </x:c>
      <x:c r="P27" s="2" t="s">
        <x:v>25</x:v>
      </x:c>
      <x:c r="Q27" s="2" t="s">
        <x:v>120</x:v>
      </x:c>
      <x:c r="R27" s="2"/>
    </x:row>
    <x:row r="28" ht="15" hidden="0">
      <x:c r="A28" s="2" t="s">
        <x:v>177</x:v>
      </x:c>
      <x:c r="B28" s="2" t="n">
        <x:f aca="0">LEN(A28)-LEN(SUBSTITUTE(A28,",",""))+1</x:f>
        <x:v>1</x:v>
      </x:c>
      <x:c r="C28" s="2" t="s">
        <x:v>178</x:v>
      </x:c>
      <x:c r="D28" s="2" t="s">
        <x:v>179</x:v>
      </x:c>
      <x:c r="E28" s="2" t="s">
        <x:v>180</x:v>
      </x:c>
      <x:c r="F28" s="2" t="s">
        <x:v>181</x:v>
      </x:c>
      <x:c r="G28" s="2" t="s">
        <x:v>182</x:v>
      </x:c>
      <x:c r="H28" s="2"/>
      <x:c r="I28" s="2"/>
      <x:c r="J28" s="2"/>
      <x:c r="K28" s="2"/>
      <x:c r="L28" s="2"/>
      <x:c r="M28" s="2" t="s">
        <x:v>46</x:v>
      </x:c>
      <x:c r="N28" s="3" t="n">
        <x:v>2341388</x:v>
      </x:c>
      <x:c r="O28" s="2" t="s">
        <x:v>37</x:v>
      </x:c>
      <x:c r="P28" s="2" t="s">
        <x:v>25</x:v>
      </x:c>
      <x:c r="Q28" s="2" t="s">
        <x:v>38</x:v>
      </x:c>
      <x:c r="R28" s="2"/>
    </x:row>
    <x:row r="29" ht="23.850000381469727" hidden="0">
      <x:c r="A29" s="2" t="s">
        <x:v>183</x:v>
      </x:c>
      <x:c r="B29" s="2" t="n">
        <x:f aca="0">LEN(A29)-LEN(SUBSTITUTE(A29,",",""))+1</x:f>
        <x:v>1</x:v>
      </x:c>
      <x:c r="C29" s="2" t="s">
        <x:v>184</x:v>
      </x:c>
      <x:c r="D29" s="2" t="s">
        <x:v>185</x:v>
      </x:c>
      <x:c r="E29" s="2" t="s">
        <x:v>186</x:v>
      </x:c>
      <x:c r="F29" s="2" t="s">
        <x:v>184</x:v>
      </x:c>
      <x:c r="G29" s="2" t="s">
        <x:v>187</x:v>
      </x:c>
      <x:c r="H29" s="2"/>
      <x:c r="I29" s="2"/>
      <x:c r="J29" s="2"/>
      <x:c r="K29" s="2"/>
      <x:c r="L29" s="2"/>
      <x:c r="M29" s="2" t="s">
        <x:v>23</x:v>
      </x:c>
      <x:c r="N29" s="3" t="n">
        <x:v>4559</x:v>
      </x:c>
      <x:c r="O29" s="2" t="s">
        <x:v>37</x:v>
      </x:c>
      <x:c r="P29" s="2" t="s">
        <x:v>25</x:v>
      </x:c>
      <x:c r="Q29" s="2" t="s">
        <x:v>107</x:v>
      </x:c>
      <x:c r="R29" s="2"/>
    </x:row>
    <x:row r="30" ht="23.850000381469727" hidden="0">
      <x:c r="A30" s="2" t="s">
        <x:v>188</x:v>
      </x:c>
      <x:c r="B30" s="2" t="n">
        <x:f aca="0">LEN(A30)-LEN(SUBSTITUTE(A30,",",""))+1</x:f>
        <x:v>1</x:v>
      </x:c>
      <x:c r="C30" s="2" t="s">
        <x:v>189</x:v>
      </x:c>
      <x:c r="D30" s="2" t="s">
        <x:v>190</x:v>
      </x:c>
      <x:c r="E30" s="2" t="s">
        <x:v>191</x:v>
      </x:c>
      <x:c r="F30" s="2" t="s">
        <x:v>192</x:v>
      </x:c>
      <x:c r="G30" s="2" t="s">
        <x:v>193</x:v>
      </x:c>
      <x:c r="H30" s="2"/>
      <x:c r="I30" s="2"/>
      <x:c r="J30" s="2"/>
      <x:c r="K30" s="2"/>
      <x:c r="L30" s="2"/>
      <x:c r="M30" s="2" t="s">
        <x:v>23</x:v>
      </x:c>
      <x:c r="N30" s="3" t="n">
        <x:v>540</x:v>
      </x:c>
      <x:c r="O30" s="2" t="s">
        <x:v>37</x:v>
      </x:c>
      <x:c r="P30" s="2" t="s">
        <x:v>25</x:v>
      </x:c>
      <x:c r="Q30" s="2" t="s">
        <x:v>194</x:v>
      </x:c>
      <x:c r="R30" s="2"/>
    </x:row>
    <x:row r="31" ht="35.04999923706055" hidden="0">
      <x:c r="A31" s="2" t="s">
        <x:v>195</x:v>
      </x:c>
      <x:c r="B31" s="2" t="n">
        <x:f aca="0">LEN(A31)-LEN(SUBSTITUTE(A31,",",""))+1</x:f>
        <x:v>1</x:v>
      </x:c>
      <x:c r="C31" s="2" t="s">
        <x:v>196</x:v>
      </x:c>
      <x:c r="D31" s="2" t="s">
        <x:v>197</x:v>
      </x:c>
      <x:c r="E31" s="2" t="s">
        <x:v>198</x:v>
      </x:c>
      <x:c r="F31" s="2" t="s">
        <x:v>199</x:v>
      </x:c>
      <x:c r="G31" s="2" t="s">
        <x:v>200</x:v>
      </x:c>
      <x:c r="H31" s="2"/>
      <x:c r="I31" s="2"/>
      <x:c r="J31" s="2"/>
      <x:c r="K31" s="2"/>
      <x:c r="L31" s="2"/>
      <x:c r="M31" s="2" t="s">
        <x:v>23</x:v>
      </x:c>
      <x:c r="N31" s="3" t="n">
        <x:v>305696</x:v>
      </x:c>
      <x:c r="O31" s="2" t="s">
        <x:v>201</x:v>
      </x:c>
      <x:c r="P31" s="2" t="s">
        <x:v>202</x:v>
      </x:c>
      <x:c r="Q31" s="2" t="s">
        <x:v>84</x:v>
      </x:c>
      <x:c r="R31" s="2" t="s">
        <x:v>203</x:v>
      </x:c>
    </x:row>
    <x:row r="32" ht="23.850000381469727" hidden="0">
      <x:c r="A32" s="2" t="s">
        <x:v>204</x:v>
      </x:c>
      <x:c r="B32" s="2" t="n">
        <x:f aca="0">LEN(A32)-LEN(SUBSTITUTE(A32,",",""))+1</x:f>
        <x:v>1</x:v>
      </x:c>
      <x:c r="C32" s="2" t="s">
        <x:v>205</x:v>
      </x:c>
      <x:c r="D32" s="2" t="s">
        <x:v>206</x:v>
      </x:c>
      <x:c r="E32" s="2" t="s">
        <x:v>207</x:v>
      </x:c>
      <x:c r="F32" s="2" t="s">
        <x:v>208</x:v>
      </x:c>
      <x:c r="G32" s="2" t="s">
        <x:v>209</x:v>
      </x:c>
      <x:c r="H32" s="2"/>
      <x:c r="I32" s="2"/>
      <x:c r="J32" s="2"/>
      <x:c r="K32" s="2"/>
      <x:c r="L32" s="2"/>
      <x:c r="M32" s="2" t="s">
        <x:v>23</x:v>
      </x:c>
      <x:c r="N32" s="3" t="n">
        <x:v>426143</x:v>
      </x:c>
      <x:c r="O32" s="2" t="s">
        <x:v>24</x:v>
      </x:c>
      <x:c r="P32" s="2" t="s">
        <x:v>25</x:v>
      </x:c>
      <x:c r="Q32" s="2" t="s">
        <x:v>84</x:v>
      </x:c>
      <x:c r="R32" s="2"/>
    </x:row>
    <x:row r="33" ht="23.850000381469727" hidden="0">
      <x:c r="A33" s="2" t="s">
        <x:v>210</x:v>
      </x:c>
      <x:c r="B33" s="2" t="n">
        <x:f aca="0">LEN(A33)-LEN(SUBSTITUTE(A33,",",""))+1</x:f>
        <x:v>1</x:v>
      </x:c>
      <x:c r="C33" s="2" t="s">
        <x:v>211</x:v>
      </x:c>
      <x:c r="D33" s="2" t="s">
        <x:v>212</x:v>
      </x:c>
      <x:c r="E33" s="2" t="s">
        <x:v>213</x:v>
      </x:c>
      <x:c r="F33" s="2" t="s">
        <x:v>214</x:v>
      </x:c>
      <x:c r="G33" s="2" t="s">
        <x:v>215</x:v>
      </x:c>
      <x:c r="H33" s="2"/>
      <x:c r="I33" s="2"/>
      <x:c r="J33" s="2"/>
      <x:c r="K33" s="2"/>
      <x:c r="L33" s="2"/>
      <x:c r="M33" s="2" t="s">
        <x:v>23</x:v>
      </x:c>
      <x:c r="N33" s="3" t="n">
        <x:v>137898</x:v>
      </x:c>
      <x:c r="O33" s="2" t="s">
        <x:v>24</x:v>
      </x:c>
      <x:c r="P33" s="2" t="s">
        <x:v>25</x:v>
      </x:c>
      <x:c r="Q33" s="2" t="s">
        <x:v>216</x:v>
      </x:c>
      <x:c r="R33" s="2" t="s">
        <x:v>217</x:v>
      </x:c>
    </x:row>
    <x:row r="34" ht="23.850000381469727" hidden="0">
      <x:c r="A34" s="2" t="s">
        <x:v>218</x:v>
      </x:c>
      <x:c r="B34" s="2" t="n">
        <x:f aca="0">LEN(A34)-LEN(SUBSTITUTE(A34,",",""))+1</x:f>
        <x:v>1</x:v>
      </x:c>
      <x:c r="C34" s="2" t="s">
        <x:v>219</x:v>
      </x:c>
      <x:c r="D34" s="2" t="s">
        <x:v>220</x:v>
      </x:c>
      <x:c r="E34" s="2" t="s">
        <x:v>221</x:v>
      </x:c>
      <x:c r="F34" s="2" t="s">
        <x:v>222</x:v>
      </x:c>
      <x:c r="G34" s="2" t="s">
        <x:v>223</x:v>
      </x:c>
      <x:c r="H34" s="2"/>
      <x:c r="I34" s="2"/>
      <x:c r="J34" s="2"/>
      <x:c r="K34" s="2"/>
      <x:c r="L34" s="2"/>
      <x:c r="M34" s="2" t="s">
        <x:v>23</x:v>
      </x:c>
      <x:c r="N34" s="3" t="n">
        <x:v>19063</x:v>
      </x:c>
      <x:c r="O34" s="2" t="s">
        <x:v>37</x:v>
      </x:c>
      <x:c r="P34" s="2" t="s">
        <x:v>25</x:v>
      </x:c>
      <x:c r="Q34" s="2" t="s">
        <x:v>224</x:v>
      </x:c>
      <x:c r="R34" s="2"/>
    </x:row>
    <x:row r="35" ht="15" hidden="0">
      <x:c r="A35" s="2" t="s">
        <x:v>225</x:v>
      </x:c>
      <x:c r="B35" s="2" t="n">
        <x:f aca="0">LEN(A35)-LEN(SUBSTITUTE(A35,",",""))+1</x:f>
        <x:v>2</x:v>
      </x:c>
      <x:c r="C35" s="2" t="s">
        <x:v>226</x:v>
      </x:c>
      <x:c r="D35" s="2" t="s">
        <x:v>226</x:v>
      </x:c>
      <x:c r="E35" s="2" t="s">
        <x:v>227</x:v>
      </x:c>
      <x:c r="F35" s="2" t="s">
        <x:v>228</x:v>
      </x:c>
      <x:c r="G35" s="2" t="s">
        <x:v>200</x:v>
      </x:c>
      <x:c r="H35" s="2"/>
      <x:c r="I35" s="2"/>
      <x:c r="J35" s="2"/>
      <x:c r="K35" s="2"/>
      <x:c r="L35" s="2"/>
      <x:c r="M35" s="2" t="s">
        <x:v>23</x:v>
      </x:c>
      <x:c r="N35" s="3" t="n">
        <x:v>52346</x:v>
      </x:c>
      <x:c r="O35" s="2" t="s">
        <x:v>37</x:v>
      </x:c>
      <x:c r="P35" s="2" t="s">
        <x:v>25</x:v>
      </x:c>
      <x:c r="Q35" s="2" t="s">
        <x:v>229</x:v>
      </x:c>
      <x:c r="R35" s="2"/>
    </x:row>
    <x:row r="36" ht="23.850000381469727" hidden="0">
      <x:c r="A36" s="2" t="s">
        <x:v>230</x:v>
      </x:c>
      <x:c r="B36" s="2" t="n">
        <x:f aca="0">LEN(A36)-LEN(SUBSTITUTE(A36,",",""))+1</x:f>
        <x:v>1</x:v>
      </x:c>
      <x:c r="C36" s="2" t="s">
        <x:v>231</x:v>
      </x:c>
      <x:c r="D36" s="2" t="s">
        <x:v>232</x:v>
      </x:c>
      <x:c r="E36" s="2" t="s">
        <x:v>233</x:v>
      </x:c>
      <x:c r="F36" s="2" t="s">
        <x:v>234</x:v>
      </x:c>
      <x:c r="G36" s="2" t="s">
        <x:v>200</x:v>
      </x:c>
      <x:c r="H36" s="2"/>
      <x:c r="I36" s="2"/>
      <x:c r="J36" s="2"/>
      <x:c r="K36" s="2"/>
      <x:c r="L36" s="2"/>
      <x:c r="M36" s="2" t="s">
        <x:v>23</x:v>
      </x:c>
      <x:c r="N36" s="3" t="n">
        <x:v>14065</x:v>
      </x:c>
      <x:c r="O36" s="2" t="s">
        <x:v>37</x:v>
      </x:c>
      <x:c r="P36" s="2" t="s">
        <x:v>25</x:v>
      </x:c>
      <x:c r="Q36" s="2" t="s">
        <x:v>229</x:v>
      </x:c>
      <x:c r="R36" s="2"/>
    </x:row>
    <x:row r="37" ht="15" hidden="0">
      <x:c r="A37" s="2" t="s">
        <x:v>235</x:v>
      </x:c>
      <x:c r="B37" s="2" t="n">
        <x:f aca="0">LEN(A37)-LEN(SUBSTITUTE(A37,",",""))+1</x:f>
        <x:v>1</x:v>
      </x:c>
      <x:c r="C37" s="2" t="s">
        <x:v>236</x:v>
      </x:c>
      <x:c r="D37" s="2" t="s">
        <x:v>237</x:v>
      </x:c>
      <x:c r="E37" s="2" t="s">
        <x:v>238</x:v>
      </x:c>
      <x:c r="F37" s="2" t="s">
        <x:v>239</x:v>
      </x:c>
      <x:c r="G37" s="2" t="s">
        <x:v>240</x:v>
      </x:c>
      <x:c r="H37" s="2"/>
      <x:c r="I37" s="2"/>
      <x:c r="J37" s="2"/>
      <x:c r="K37" s="2"/>
      <x:c r="L37" s="2"/>
      <x:c r="M37" s="2" t="s">
        <x:v>23</x:v>
      </x:c>
      <x:c r="N37" s="3" t="n">
        <x:v>50677</x:v>
      </x:c>
      <x:c r="O37" s="2" t="s">
        <x:v>24</x:v>
      </x:c>
      <x:c r="P37" s="2" t="s">
        <x:v>25</x:v>
      </x:c>
      <x:c r="Q37" s="2" t="s">
        <x:v>229</x:v>
      </x:c>
      <x:c r="R37" s="2"/>
    </x:row>
    <x:row r="38" ht="15" hidden="0">
      <x:c r="A38" s="2" t="s">
        <x:v>241</x:v>
      </x:c>
      <x:c r="B38" s="2" t="n">
        <x:f aca="0">LEN(A38)-LEN(SUBSTITUTE(A38,",",""))+1</x:f>
        <x:v>1</x:v>
      </x:c>
      <x:c r="C38" s="2" t="s">
        <x:v>242</x:v>
      </x:c>
      <x:c r="D38" s="2" t="s">
        <x:v>237</x:v>
      </x:c>
      <x:c r="E38" s="2" t="s">
        <x:v>238</x:v>
      </x:c>
      <x:c r="F38" s="2" t="s">
        <x:v>239</x:v>
      </x:c>
      <x:c r="G38" s="2" t="s">
        <x:v>240</x:v>
      </x:c>
      <x:c r="H38" s="2"/>
      <x:c r="I38" s="2"/>
      <x:c r="J38" s="2"/>
      <x:c r="K38" s="2"/>
      <x:c r="L38" s="2"/>
      <x:c r="M38" s="2" t="s">
        <x:v>23</x:v>
      </x:c>
      <x:c r="N38" s="3" t="n">
        <x:v>50677</x:v>
      </x:c>
      <x:c r="O38" s="2" t="s">
        <x:v>24</x:v>
      </x:c>
      <x:c r="P38" s="2" t="s">
        <x:v>25</x:v>
      </x:c>
      <x:c r="Q38" s="2" t="s">
        <x:v>229</x:v>
      </x:c>
      <x:c r="R38" s="2"/>
    </x:row>
    <x:row r="39" ht="23.850000381469727" hidden="0">
      <x:c r="A39" s="2" t="s">
        <x:v>243</x:v>
      </x:c>
      <x:c r="B39" s="2" t="n">
        <x:f aca="0">LEN(A39)-LEN(SUBSTITUTE(A39,",",""))+1</x:f>
        <x:v>1</x:v>
      </x:c>
      <x:c r="C39" s="2" t="s">
        <x:v>244</x:v>
      </x:c>
      <x:c r="D39" s="2" t="s">
        <x:v>232</x:v>
      </x:c>
      <x:c r="E39" s="2" t="s">
        <x:v>233</x:v>
      </x:c>
      <x:c r="F39" s="2" t="s">
        <x:v>234</x:v>
      </x:c>
      <x:c r="G39" s="2" t="s">
        <x:v>200</x:v>
      </x:c>
      <x:c r="H39" s="2"/>
      <x:c r="I39" s="2"/>
      <x:c r="J39" s="2"/>
      <x:c r="K39" s="2"/>
      <x:c r="L39" s="2"/>
      <x:c r="M39" s="2" t="s">
        <x:v>23</x:v>
      </x:c>
      <x:c r="N39" s="3" t="n">
        <x:v>14065</x:v>
      </x:c>
      <x:c r="O39" s="2" t="s">
        <x:v>37</x:v>
      </x:c>
      <x:c r="P39" s="2" t="s">
        <x:v>25</x:v>
      </x:c>
      <x:c r="Q39" s="2" t="s">
        <x:v>229</x:v>
      </x:c>
      <x:c r="R39" s="2"/>
    </x:row>
    <x:row r="40" ht="23.850000381469727" hidden="0">
      <x:c r="A40" s="2" t="s">
        <x:v>245</x:v>
      </x:c>
      <x:c r="B40" s="2" t="n">
        <x:f aca="0">LEN(A40)-LEN(SUBSTITUTE(A40,",",""))+1</x:f>
        <x:v>1</x:v>
      </x:c>
      <x:c r="C40" s="2" t="s">
        <x:v>246</x:v>
      </x:c>
      <x:c r="D40" s="2" t="s">
        <x:v>232</x:v>
      </x:c>
      <x:c r="E40" s="2" t="s">
        <x:v>233</x:v>
      </x:c>
      <x:c r="F40" s="2" t="s">
        <x:v>234</x:v>
      </x:c>
      <x:c r="G40" s="2" t="s">
        <x:v>200</x:v>
      </x:c>
      <x:c r="H40" s="2"/>
      <x:c r="I40" s="2"/>
      <x:c r="J40" s="2"/>
      <x:c r="K40" s="2"/>
      <x:c r="L40" s="2"/>
      <x:c r="M40" s="2" t="s">
        <x:v>23</x:v>
      </x:c>
      <x:c r="N40" s="3" t="n">
        <x:v>14065</x:v>
      </x:c>
      <x:c r="O40" s="2" t="s">
        <x:v>37</x:v>
      </x:c>
      <x:c r="P40" s="2" t="s">
        <x:v>25</x:v>
      </x:c>
      <x:c r="Q40" s="2" t="s">
        <x:v>229</x:v>
      </x:c>
      <x:c r="R40" s="2"/>
    </x:row>
    <x:row r="41" ht="35.04999923706055" hidden="0">
      <x:c r="A41" s="2" t="s">
        <x:v>247</x:v>
      </x:c>
      <x:c r="B41" s="2" t="n">
        <x:f aca="0">LEN(A41)-LEN(SUBSTITUTE(A41,",",""))+1</x:f>
        <x:v>1</x:v>
      </x:c>
      <x:c r="C41" s="2" t="str">
        <x:v>Screw_Terminal_01x02</x:v>
      </x:c>
      <x:c r="D41" s="2" t="str">
        <x:v>TerminalBlock_Kangnex_WJ128V-5.0-2P_C8269</x:v>
      </x:c>
      <x:c r="E41" s="2" t="str">
        <x:v>C8269</x:v>
      </x:c>
      <x:c r="F41" s="2" t="str">
        <x:v>WJ128V-5.0-02P-14-00A</x:v>
      </x:c>
      <x:c r="G41" s="2" t="str">
        <x:v>KANGNEX</x:v>
      </x:c>
      <x:c r="H41" s="2"/>
      <x:c r="I41" s="2"/>
      <x:c r="J41" s="2"/>
      <x:c r="K41" s="2"/>
      <x:c r="L41" s="2"/>
      <x:c r="M41" s="2" t="str">
        <x:v>Unverified</x:v>
      </x:c>
      <x:c r="N41" s="3"/>
      <x:c r="O41" s="2" t="s">
        <x:v>201</x:v>
      </x:c>
      <x:c r="P41" s="2" t="s">
        <x:v>202</x:v>
      </x:c>
      <x:c r="Q41" s="2" t="s">
        <x:v>120</x:v>
      </x:c>
      <x:c r="R41" s="2" t="str">
        <x:v>DROGUE (CH0), bottom side, hand-solder. Fixed 2-pin screw terminal, 5.0 mm pitch; no mating plug. Datasheet: https://www.lcsc.com/datasheet/C8269.pdf</x:v>
      </x:c>
    </x:row>
    <x:row r="42" ht="35.04999923706055" hidden="0">
      <x:c r="A42" s="2" t="s">
        <x:v>248</x:v>
      </x:c>
      <x:c r="B42" s="2" t="n">
        <x:f aca="0">LEN(A42)-LEN(SUBSTITUTE(A42,",",""))+1</x:f>
        <x:v>1</x:v>
      </x:c>
      <x:c r="C42" s="2" t="str">
        <x:v>Screw_Terminal_01x02</x:v>
      </x:c>
      <x:c r="D42" s="2" t="str">
        <x:v>TerminalBlock_Kangnex_WJ128V-5.0-2P_C8269</x:v>
      </x:c>
      <x:c r="E42" s="2" t="str">
        <x:v>C8269</x:v>
      </x:c>
      <x:c r="F42" s="2" t="str">
        <x:v>WJ128V-5.0-02P-14-00A</x:v>
      </x:c>
      <x:c r="G42" s="2" t="str">
        <x:v>KANGNEX</x:v>
      </x:c>
      <x:c r="H42" s="2"/>
      <x:c r="I42" s="2"/>
      <x:c r="J42" s="2"/>
      <x:c r="K42" s="2"/>
      <x:c r="L42" s="2"/>
      <x:c r="M42" s="2" t="str">
        <x:v>Unverified</x:v>
      </x:c>
      <x:c r="N42" s="3"/>
      <x:c r="O42" s="2" t="s">
        <x:v>24</x:v>
      </x:c>
      <x:c r="P42" s="2" t="s">
        <x:v>25</x:v>
      </x:c>
      <x:c r="Q42" s="2" t="s">
        <x:v>120</x:v>
      </x:c>
      <x:c r="R42" s="2" t="str">
        <x:v>MAIN (CH1), top side. Fixed 2-pin screw terminal, 5.0 mm pitch; no mating plug. Datasheet: https://www.lcsc.com/datasheet/C8269.pdf</x:v>
      </x:c>
    </x:row>
    <x:row r="43" ht="23.850000381469727" hidden="0">
      <x:c r="A43" s="2" t="s">
        <x:v>249</x:v>
      </x:c>
      <x:c r="B43" s="2" t="n">
        <x:f aca="0">LEN(A43)-LEN(SUBSTITUTE(A43,",",""))+1</x:f>
        <x:v>1</x:v>
      </x:c>
      <x:c r="C43" s="2" t="s">
        <x:v>250</x:v>
      </x:c>
      <x:c r="D43" s="2" t="s">
        <x:v>251</x:v>
      </x:c>
      <x:c r="E43" s="2" t="s">
        <x:v>252</x:v>
      </x:c>
      <x:c r="F43" s="2" t="s">
        <x:v>253</x:v>
      </x:c>
      <x:c r="G43" s="2" t="s">
        <x:v>254</x:v>
      </x:c>
      <x:c r="H43" s="2"/>
      <x:c r="I43" s="2"/>
      <x:c r="J43" s="2" t="s">
        <x:v>94</x:v>
      </x:c>
      <x:c r="K43" s="2" t="s">
        <x:v>255</x:v>
      </x:c>
      <x:c r="L43" s="2"/>
      <x:c r="M43" s="2" t="s">
        <x:v>23</x:v>
      </x:c>
      <x:c r="N43" s="3" t="n">
        <x:v>2804</x:v>
      </x:c>
      <x:c r="O43" s="2" t="s">
        <x:v>37</x:v>
      </x:c>
      <x:c r="P43" s="2" t="s">
        <x:v>25</x:v>
      </x:c>
      <x:c r="Q43" s="2" t="s">
        <x:v>84</x:v>
      </x:c>
      <x:c r="R43" s="2" t="s">
        <x:v>256</x:v>
      </x:c>
    </x:row>
    <x:row r="44" ht="46.25" hidden="0">
      <x:c r="A44" s="2" t="s">
        <x:v>257</x:v>
      </x:c>
      <x:c r="B44" s="2" t="n">
        <x:f aca="0">LEN(A44)-LEN(SUBSTITUTE(A44,",",""))+1</x:f>
        <x:v>3</x:v>
      </x:c>
      <x:c r="C44" s="2" t="s">
        <x:v>258</x:v>
      </x:c>
      <x:c r="D44" s="2" t="s">
        <x:v>259</x:v>
      </x:c>
      <x:c r="E44" s="2" t="s">
        <x:v>260</x:v>
      </x:c>
      <x:c r="F44" s="2" t="s">
        <x:v>258</x:v>
      </x:c>
      <x:c r="G44" s="2" t="s">
        <x:v>261</x:v>
      </x:c>
      <x:c r="H44" s="2"/>
      <x:c r="I44" s="2"/>
      <x:c r="J44" s="2"/>
      <x:c r="K44" s="2"/>
      <x:c r="L44" s="2"/>
      <x:c r="M44" s="2" t="s">
        <x:v>23</x:v>
      </x:c>
      <x:c r="N44" s="3" t="n">
        <x:v>651</x:v>
      </x:c>
      <x:c r="O44" s="2" t="s">
        <x:v>37</x:v>
      </x:c>
      <x:c r="P44" s="2" t="s">
        <x:v>25</x:v>
      </x:c>
      <x:c r="Q44" s="2" t="s">
        <x:v>84</x:v>
      </x:c>
      <x:c r="R44" s="2" t="s">
        <x:v>262</x:v>
      </x:c>
    </x:row>
    <x:row r="45" ht="15" hidden="0">
      <x:c r="A45" s="2" t="s">
        <x:v>263</x:v>
      </x:c>
      <x:c r="B45" s="2" t="n">
        <x:f aca="0">LEN(A45)-LEN(SUBSTITUTE(A45,",",""))+1</x:f>
        <x:v>3</x:v>
      </x:c>
      <x:c r="C45" s="2" t="s">
        <x:v>264</x:v>
      </x:c>
      <x:c r="D45" s="2" t="s">
        <x:v>265</x:v>
      </x:c>
      <x:c r="E45" s="2" t="s">
        <x:v>266</x:v>
      </x:c>
      <x:c r="F45" s="2" t="s">
        <x:v>264</x:v>
      </x:c>
      <x:c r="G45" s="2" t="s">
        <x:v>267</x:v>
      </x:c>
      <x:c r="H45" s="2"/>
      <x:c r="I45" s="2"/>
      <x:c r="J45" s="2"/>
      <x:c r="K45" s="2"/>
      <x:c r="L45" s="2"/>
      <x:c r="M45" s="2" t="s">
        <x:v>46</x:v>
      </x:c>
      <x:c r="N45" s="3" t="n">
        <x:v>958459</x:v>
      </x:c>
      <x:c r="O45" s="2" t="s">
        <x:v>37</x:v>
      </x:c>
      <x:c r="P45" s="2" t="s">
        <x:v>25</x:v>
      </x:c>
      <x:c r="Q45" s="2" t="s">
        <x:v>26</x:v>
      </x:c>
      <x:c r="R45" s="2"/>
    </x:row>
    <x:row r="46" ht="23.850000381469727" hidden="0">
      <x:c r="A46" s="2" t="s">
        <x:v>268</x:v>
      </x:c>
      <x:c r="B46" s="2" t="n">
        <x:f aca="0">LEN(A46)-LEN(SUBSTITUTE(A46,",",""))+1</x:f>
        <x:v>1</x:v>
      </x:c>
      <x:c r="C46" s="2" t="s">
        <x:v>269</x:v>
      </x:c>
      <x:c r="D46" s="2" t="s">
        <x:v>270</x:v>
      </x:c>
      <x:c r="E46" s="2" t="s">
        <x:v>271</x:v>
      </x:c>
      <x:c r="F46" s="2" t="s">
        <x:v>272</x:v>
      </x:c>
      <x:c r="G46" s="2" t="s">
        <x:v>273</x:v>
      </x:c>
      <x:c r="H46" s="2" t="s">
        <x:v>58</x:v>
      </x:c>
      <x:c r="I46" s="2"/>
      <x:c r="J46" s="2" t="s">
        <x:v>274</x:v>
      </x:c>
      <x:c r="K46" s="2"/>
      <x:c r="L46" s="2" t="s">
        <x:v>275</x:v>
      </x:c>
      <x:c r="M46" s="2" t="s">
        <x:v>77</x:v>
      </x:c>
      <x:c r="N46" s="3" t="n">
        <x:v>391677</x:v>
      </x:c>
      <x:c r="O46" s="2" t="s">
        <x:v>37</x:v>
      </x:c>
      <x:c r="P46" s="2" t="s">
        <x:v>25</x:v>
      </x:c>
      <x:c r="Q46" s="2" t="s">
        <x:v>38</x:v>
      </x:c>
      <x:c r="R46" s="2"/>
    </x:row>
    <x:row r="47" ht="15" hidden="0">
      <x:c r="A47" s="2" t="s">
        <x:v>276</x:v>
      </x:c>
      <x:c r="B47" s="2" t="n">
        <x:f aca="0">LEN(A47)-LEN(SUBSTITUTE(A47,",",""))+1</x:f>
        <x:v>2</x:v>
      </x:c>
      <x:c r="C47" s="2" t="s">
        <x:v>277</x:v>
      </x:c>
      <x:c r="D47" s="2" t="s">
        <x:v>278</x:v>
      </x:c>
      <x:c r="E47" s="2" t="s">
        <x:v>279</x:v>
      </x:c>
      <x:c r="F47" s="2" t="s">
        <x:v>280</x:v>
      </x:c>
      <x:c r="G47" s="2" t="s">
        <x:v>273</x:v>
      </x:c>
      <x:c r="H47" s="2" t="s">
        <x:v>281</x:v>
      </x:c>
      <x:c r="I47" s="2"/>
      <x:c r="J47" s="2" t="s">
        <x:v>274</x:v>
      </x:c>
      <x:c r="K47" s="2"/>
      <x:c r="L47" s="2" t="s">
        <x:v>282</x:v>
      </x:c>
      <x:c r="M47" s="2" t="s">
        <x:v>46</x:v>
      </x:c>
      <x:c r="N47" s="3" t="n">
        <x:v>23037967</x:v>
      </x:c>
      <x:c r="O47" s="2" t="s">
        <x:v>37</x:v>
      </x:c>
      <x:c r="P47" s="2" t="s">
        <x:v>25</x:v>
      </x:c>
      <x:c r="Q47" s="2" t="s">
        <x:v>38</x:v>
      </x:c>
      <x:c r="R47" s="2"/>
    </x:row>
    <x:row r="48" ht="15" hidden="0">
      <x:c r="A48" s="2" t="s">
        <x:v>283</x:v>
      </x:c>
      <x:c r="B48" s="2" t="n">
        <x:f aca="0">LEN(A48)-LEN(SUBSTITUTE(A48,",",""))+1</x:f>
        <x:v>4</x:v>
      </x:c>
      <x:c r="C48" s="2" t="s">
        <x:v>178</x:v>
      </x:c>
      <x:c r="D48" s="2" t="s">
        <x:v>270</x:v>
      </x:c>
      <x:c r="E48" s="2" t="s">
        <x:v>284</x:v>
      </x:c>
      <x:c r="F48" s="2" t="s">
        <x:v>285</x:v>
      </x:c>
      <x:c r="G48" s="2" t="s">
        <x:v>273</x:v>
      </x:c>
      <x:c r="H48" s="2" t="s">
        <x:v>58</x:v>
      </x:c>
      <x:c r="I48" s="2"/>
      <x:c r="J48" s="2" t="s">
        <x:v>274</x:v>
      </x:c>
      <x:c r="K48" s="2"/>
      <x:c r="L48" s="2" t="s">
        <x:v>275</x:v>
      </x:c>
      <x:c r="M48" s="2" t="s">
        <x:v>46</x:v>
      </x:c>
      <x:c r="N48" s="3" t="n">
        <x:v>4080693</x:v>
      </x:c>
      <x:c r="O48" s="2" t="s">
        <x:v>37</x:v>
      </x:c>
      <x:c r="P48" s="2" t="s">
        <x:v>25</x:v>
      </x:c>
      <x:c r="Q48" s="2" t="s">
        <x:v>194</x:v>
      </x:c>
      <x:c r="R48" s="2" t="s">
        <x:v>286</x:v>
      </x:c>
    </x:row>
    <x:row r="49" ht="15" hidden="0">
      <x:c r="A49" s="2" t="s">
        <x:v>287</x:v>
      </x:c>
      <x:c r="B49" s="2" t="n">
        <x:f aca="0">LEN(A49)-LEN(SUBSTITUTE(A49,",",""))+1</x:f>
        <x:v>2</x:v>
      </x:c>
      <x:c r="C49" s="2" t="s">
        <x:v>288</x:v>
      </x:c>
      <x:c r="D49" s="2" t="s">
        <x:v>270</x:v>
      </x:c>
      <x:c r="E49" s="2" t="s">
        <x:v>289</x:v>
      </x:c>
      <x:c r="F49" s="2" t="s">
        <x:v>290</x:v>
      </x:c>
      <x:c r="G49" s="2" t="s">
        <x:v>273</x:v>
      </x:c>
      <x:c r="H49" s="2" t="s">
        <x:v>58</x:v>
      </x:c>
      <x:c r="I49" s="2"/>
      <x:c r="J49" s="2" t="s">
        <x:v>274</x:v>
      </x:c>
      <x:c r="K49" s="2"/>
      <x:c r="L49" s="2" t="s">
        <x:v>275</x:v>
      </x:c>
      <x:c r="M49" s="2" t="s">
        <x:v>46</x:v>
      </x:c>
      <x:c r="N49" s="3" t="n">
        <x:v>6009635</x:v>
      </x:c>
      <x:c r="O49" s="2" t="s">
        <x:v>37</x:v>
      </x:c>
      <x:c r="P49" s="2" t="s">
        <x:v>25</x:v>
      </x:c>
      <x:c r="Q49" s="2" t="s">
        <x:v>84</x:v>
      </x:c>
      <x:c r="R49" s="2"/>
    </x:row>
    <x:row r="50" ht="15" hidden="0">
      <x:c r="A50" s="2" t="s">
        <x:v>291</x:v>
      </x:c>
      <x:c r="B50" s="2" t="n">
        <x:f aca="0">LEN(A50)-LEN(SUBSTITUTE(A50,",",""))+1</x:f>
        <x:v>1</x:v>
      </x:c>
      <x:c r="C50" s="2" t="s">
        <x:v>292</x:v>
      </x:c>
      <x:c r="D50" s="2" t="s">
        <x:v>278</x:v>
      </x:c>
      <x:c r="E50" s="2" t="s">
        <x:v>293</x:v>
      </x:c>
      <x:c r="F50" s="2" t="s">
        <x:v>294</x:v>
      </x:c>
      <x:c r="G50" s="2" t="s">
        <x:v>273</x:v>
      </x:c>
      <x:c r="H50" s="2" t="s">
        <x:v>281</x:v>
      </x:c>
      <x:c r="I50" s="2"/>
      <x:c r="J50" s="2" t="s">
        <x:v>274</x:v>
      </x:c>
      <x:c r="K50" s="2"/>
      <x:c r="L50" s="2" t="s">
        <x:v>282</x:v>
      </x:c>
      <x:c r="M50" s="2" t="s">
        <x:v>46</x:v>
      </x:c>
      <x:c r="N50" s="3" t="n">
        <x:v>23746831</x:v>
      </x:c>
      <x:c r="O50" s="2" t="s">
        <x:v>37</x:v>
      </x:c>
      <x:c r="P50" s="2" t="s">
        <x:v>25</x:v>
      </x:c>
      <x:c r="Q50" s="2" t="s">
        <x:v>84</x:v>
      </x:c>
      <x:c r="R50" s="2"/>
    </x:row>
    <x:row r="51" ht="15" hidden="0">
      <x:c r="A51" s="2" t="s">
        <x:v>295</x:v>
      </x:c>
      <x:c r="B51" s="2" t="n">
        <x:f aca="0">LEN(A51)-LEN(SUBSTITUTE(A51,",",""))+1</x:f>
        <x:v>1</x:v>
      </x:c>
      <x:c r="C51" s="2" t="s">
        <x:v>296</x:v>
      </x:c>
      <x:c r="D51" s="2" t="s">
        <x:v>270</x:v>
      </x:c>
      <x:c r="E51" s="2" t="s">
        <x:v>297</x:v>
      </x:c>
      <x:c r="F51" s="2" t="s">
        <x:v>298</x:v>
      </x:c>
      <x:c r="G51" s="2" t="s">
        <x:v>273</x:v>
      </x:c>
      <x:c r="H51" s="2" t="s">
        <x:v>58</x:v>
      </x:c>
      <x:c r="I51" s="2"/>
      <x:c r="J51" s="2" t="s">
        <x:v>274</x:v>
      </x:c>
      <x:c r="K51" s="2"/>
      <x:c r="L51" s="2" t="s">
        <x:v>275</x:v>
      </x:c>
      <x:c r="M51" s="2" t="s">
        <x:v>46</x:v>
      </x:c>
      <x:c r="N51" s="3" t="n">
        <x:v>8233229</x:v>
      </x:c>
      <x:c r="O51" s="2" t="s">
        <x:v>37</x:v>
      </x:c>
      <x:c r="P51" s="2" t="s">
        <x:v>25</x:v>
      </x:c>
      <x:c r="Q51" s="2" t="s">
        <x:v>84</x:v>
      </x:c>
      <x:c r="R51" s="2"/>
    </x:row>
    <x:row r="52" ht="35.04999923706055" hidden="0">
      <x:c r="A52" s="2" t="s">
        <x:v>299</x:v>
      </x:c>
      <x:c r="B52" s="2" t="n">
        <x:f aca="0">LEN(A52)-LEN(SUBSTITUTE(A52,",",""))+1</x:f>
        <x:v>13</x:v>
      </x:c>
      <x:c r="C52" s="2" t="s">
        <x:v>277</x:v>
      </x:c>
      <x:c r="D52" s="2" t="s">
        <x:v>270</x:v>
      </x:c>
      <x:c r="E52" s="2" t="s">
        <x:v>300</x:v>
      </x:c>
      <x:c r="F52" s="2" t="s">
        <x:v>301</x:v>
      </x:c>
      <x:c r="G52" s="2" t="s">
        <x:v>273</x:v>
      </x:c>
      <x:c r="H52" s="2" t="s">
        <x:v>58</x:v>
      </x:c>
      <x:c r="I52" s="2"/>
      <x:c r="J52" s="2" t="s">
        <x:v>274</x:v>
      </x:c>
      <x:c r="K52" s="2"/>
      <x:c r="L52" s="2" t="s">
        <x:v>275</x:v>
      </x:c>
      <x:c r="M52" s="2" t="s">
        <x:v>46</x:v>
      </x:c>
      <x:c r="N52" s="3" t="n">
        <x:v>21738660</x:v>
      </x:c>
      <x:c r="O52" s="2" t="s">
        <x:v>37</x:v>
      </x:c>
      <x:c r="P52" s="2" t="s">
        <x:v>25</x:v>
      </x:c>
      <x:c r="Q52" s="2" t="s">
        <x:v>84</x:v>
      </x:c>
      <x:c r="R52" s="2" t="s">
        <x:v>302</x:v>
      </x:c>
    </x:row>
    <x:row r="53" ht="15" hidden="0">
      <x:c r="A53" s="2" t="s">
        <x:v>303</x:v>
      </x:c>
      <x:c r="B53" s="2" t="n">
        <x:f aca="0">LEN(A53)-LEN(SUBSTITUTE(A53,",",""))+1</x:f>
        <x:v>1</x:v>
      </x:c>
      <x:c r="C53" s="2" t="s">
        <x:v>304</x:v>
      </x:c>
      <x:c r="D53" s="2" t="s">
        <x:v>270</x:v>
      </x:c>
      <x:c r="E53" s="2" t="s">
        <x:v>305</x:v>
      </x:c>
      <x:c r="F53" s="2" t="s">
        <x:v>306</x:v>
      </x:c>
      <x:c r="G53" s="2" t="s">
        <x:v>273</x:v>
      </x:c>
      <x:c r="H53" s="2" t="s">
        <x:v>58</x:v>
      </x:c>
      <x:c r="I53" s="2"/>
      <x:c r="J53" s="2" t="s">
        <x:v>274</x:v>
      </x:c>
      <x:c r="K53" s="2"/>
      <x:c r="L53" s="2" t="s">
        <x:v>275</x:v>
      </x:c>
      <x:c r="M53" s="2" t="s">
        <x:v>46</x:v>
      </x:c>
      <x:c r="N53" s="3" t="n">
        <x:v>799355</x:v>
      </x:c>
      <x:c r="O53" s="2" t="s">
        <x:v>37</x:v>
      </x:c>
      <x:c r="P53" s="2" t="s">
        <x:v>25</x:v>
      </x:c>
      <x:c r="Q53" s="2" t="s">
        <x:v>84</x:v>
      </x:c>
      <x:c r="R53" s="2" t="s">
        <x:v>307</x:v>
      </x:c>
    </x:row>
    <x:row r="54" ht="23.850000381469727" hidden="0">
      <x:c r="A54" s="2" t="s">
        <x:v>308</x:v>
      </x:c>
      <x:c r="B54" s="2" t="n">
        <x:f aca="0">LEN(A54)-LEN(SUBSTITUTE(A54,",",""))+1</x:f>
        <x:v>1</x:v>
      </x:c>
      <x:c r="C54" s="2" t="s">
        <x:v>309</x:v>
      </x:c>
      <x:c r="D54" s="2" t="s">
        <x:v>270</x:v>
      </x:c>
      <x:c r="E54" s="2" t="s">
        <x:v>310</x:v>
      </x:c>
      <x:c r="F54" s="2" t="s">
        <x:v>311</x:v>
      </x:c>
      <x:c r="G54" s="2" t="s">
        <x:v>273</x:v>
      </x:c>
      <x:c r="H54" s="2" t="s">
        <x:v>58</x:v>
      </x:c>
      <x:c r="I54" s="2"/>
      <x:c r="J54" s="2" t="s">
        <x:v>274</x:v>
      </x:c>
      <x:c r="K54" s="2"/>
      <x:c r="L54" s="2" t="s">
        <x:v>275</x:v>
      </x:c>
      <x:c r="M54" s="2" t="s">
        <x:v>46</x:v>
      </x:c>
      <x:c r="N54" s="3" t="n">
        <x:v>1209063</x:v>
      </x:c>
      <x:c r="O54" s="2" t="s">
        <x:v>37</x:v>
      </x:c>
      <x:c r="P54" s="2" t="s">
        <x:v>25</x:v>
      </x:c>
      <x:c r="Q54" s="2" t="s">
        <x:v>84</x:v>
      </x:c>
      <x:c r="R54" s="2" t="s">
        <x:v>312</x:v>
      </x:c>
    </x:row>
    <x:row r="55" ht="15" hidden="0">
      <x:c r="A55" s="2" t="s">
        <x:v>313</x:v>
      </x:c>
      <x:c r="B55" s="2" t="n">
        <x:f aca="0">LEN(A55)-LEN(SUBSTITUTE(A55,",",""))+1</x:f>
        <x:v>1</x:v>
      </x:c>
      <x:c r="C55" s="2" t="s">
        <x:v>314</x:v>
      </x:c>
      <x:c r="D55" s="2" t="s">
        <x:v>270</x:v>
      </x:c>
      <x:c r="E55" s="2" t="s">
        <x:v>315</x:v>
      </x:c>
      <x:c r="F55" s="2" t="s">
        <x:v>316</x:v>
      </x:c>
      <x:c r="G55" s="2" t="s">
        <x:v>273</x:v>
      </x:c>
      <x:c r="H55" s="2" t="s">
        <x:v>58</x:v>
      </x:c>
      <x:c r="I55" s="2"/>
      <x:c r="J55" s="2" t="s">
        <x:v>274</x:v>
      </x:c>
      <x:c r="K55" s="2"/>
      <x:c r="L55" s="2" t="s">
        <x:v>275</x:v>
      </x:c>
      <x:c r="M55" s="2" t="s">
        <x:v>23</x:v>
      </x:c>
      <x:c r="N55" s="3" t="n">
        <x:v>175055</x:v>
      </x:c>
      <x:c r="O55" s="2" t="s">
        <x:v>37</x:v>
      </x:c>
      <x:c r="P55" s="2" t="s">
        <x:v>25</x:v>
      </x:c>
      <x:c r="Q55" s="2" t="s">
        <x:v>84</x:v>
      </x:c>
      <x:c r="R55" s="2" t="s">
        <x:v>317</x:v>
      </x:c>
    </x:row>
    <x:row r="56" ht="15" hidden="0">
      <x:c r="A56" s="2" t="s">
        <x:v>318</x:v>
      </x:c>
      <x:c r="B56" s="2" t="n">
        <x:f aca="0">LEN(A56)-LEN(SUBSTITUTE(A56,",",""))+1</x:f>
        <x:v>1</x:v>
      </x:c>
      <x:c r="C56" s="2" t="s">
        <x:v>319</x:v>
      </x:c>
      <x:c r="D56" s="2" t="s">
        <x:v>270</x:v>
      </x:c>
      <x:c r="E56" s="2" t="s">
        <x:v>320</x:v>
      </x:c>
      <x:c r="F56" s="2" t="s">
        <x:v>321</x:v>
      </x:c>
      <x:c r="G56" s="2" t="s">
        <x:v>273</x:v>
      </x:c>
      <x:c r="H56" s="2" t="s">
        <x:v>58</x:v>
      </x:c>
      <x:c r="I56" s="2"/>
      <x:c r="J56" s="2" t="s">
        <x:v>274</x:v>
      </x:c>
      <x:c r="K56" s="2"/>
      <x:c r="L56" s="2" t="s">
        <x:v>275</x:v>
      </x:c>
      <x:c r="M56" s="2" t="s">
        <x:v>23</x:v>
      </x:c>
      <x:c r="N56" s="3" t="n">
        <x:v>12190</x:v>
      </x:c>
      <x:c r="O56" s="2" t="s">
        <x:v>37</x:v>
      </x:c>
      <x:c r="P56" s="2" t="s">
        <x:v>25</x:v>
      </x:c>
      <x:c r="Q56" s="2" t="s">
        <x:v>84</x:v>
      </x:c>
      <x:c r="R56" s="2" t="s">
        <x:v>322</x:v>
      </x:c>
    </x:row>
    <x:row r="57" ht="23.850000381469727" hidden="0">
      <x:c r="A57" s="2" t="s">
        <x:v>323</x:v>
      </x:c>
      <x:c r="B57" s="2" t="n">
        <x:f aca="0">LEN(A57)-LEN(SUBSTITUTE(A57,",",""))+1</x:f>
        <x:v>7</x:v>
      </x:c>
      <x:c r="C57" s="2" t="s">
        <x:v>324</x:v>
      </x:c>
      <x:c r="D57" s="2" t="s">
        <x:v>270</x:v>
      </x:c>
      <x:c r="E57" s="2" t="s">
        <x:v>325</x:v>
      </x:c>
      <x:c r="F57" s="2" t="s">
        <x:v>326</x:v>
      </x:c>
      <x:c r="G57" s="2" t="s">
        <x:v>273</x:v>
      </x:c>
      <x:c r="H57" s="2" t="s">
        <x:v>58</x:v>
      </x:c>
      <x:c r="I57" s="2"/>
      <x:c r="J57" s="2" t="s">
        <x:v>274</x:v>
      </x:c>
      <x:c r="K57" s="2"/>
      <x:c r="L57" s="2" t="s">
        <x:v>275</x:v>
      </x:c>
      <x:c r="M57" s="2" t="s">
        <x:v>46</x:v>
      </x:c>
      <x:c r="N57" s="3" t="n">
        <x:v>1753546</x:v>
      </x:c>
      <x:c r="O57" s="2" t="s">
        <x:v>37</x:v>
      </x:c>
      <x:c r="P57" s="2" t="s">
        <x:v>25</x:v>
      </x:c>
      <x:c r="Q57" s="2" t="s">
        <x:v>107</x:v>
      </x:c>
      <x:c r="R57" s="2"/>
    </x:row>
    <x:row r="58" ht="15" hidden="0">
      <x:c r="A58" s="2" t="s">
        <x:v>327</x:v>
      </x:c>
      <x:c r="B58" s="2" t="n">
        <x:f aca="0">LEN(A58)-LEN(SUBSTITUTE(A58,",",""))+1</x:f>
        <x:v>1</x:v>
      </x:c>
      <x:c r="C58" s="2" t="s">
        <x:v>328</x:v>
      </x:c>
      <x:c r="D58" s="2" t="s">
        <x:v>270</x:v>
      </x:c>
      <x:c r="E58" s="2" t="s">
        <x:v>329</x:v>
      </x:c>
      <x:c r="F58" s="2" t="s">
        <x:v>330</x:v>
      </x:c>
      <x:c r="G58" s="2" t="s">
        <x:v>273</x:v>
      </x:c>
      <x:c r="H58" s="2" t="s">
        <x:v>58</x:v>
      </x:c>
      <x:c r="I58" s="2"/>
      <x:c r="J58" s="2" t="s">
        <x:v>274</x:v>
      </x:c>
      <x:c r="K58" s="2"/>
      <x:c r="L58" s="2" t="s">
        <x:v>275</x:v>
      </x:c>
      <x:c r="M58" s="2" t="s">
        <x:v>46</x:v>
      </x:c>
      <x:c r="N58" s="3" t="n">
        <x:v>2084377</x:v>
      </x:c>
      <x:c r="O58" s="2" t="s">
        <x:v>37</x:v>
      </x:c>
      <x:c r="P58" s="2" t="s">
        <x:v>25</x:v>
      </x:c>
      <x:c r="Q58" s="2" t="s">
        <x:v>26</x:v>
      </x:c>
      <x:c r="R58" s="2"/>
    </x:row>
    <x:row r="59" ht="15" hidden="0">
      <x:c r="A59" s="2" t="s">
        <x:v>331</x:v>
      </x:c>
      <x:c r="B59" s="2" t="n">
        <x:f aca="0">LEN(A59)-LEN(SUBSTITUTE(A59,",",""))+1</x:f>
        <x:v>1</x:v>
      </x:c>
      <x:c r="C59" s="2" t="s">
        <x:v>332</x:v>
      </x:c>
      <x:c r="D59" s="2" t="s">
        <x:v>270</x:v>
      </x:c>
      <x:c r="E59" s="2" t="s">
        <x:v>333</x:v>
      </x:c>
      <x:c r="F59" s="2" t="s">
        <x:v>334</x:v>
      </x:c>
      <x:c r="G59" s="2" t="s">
        <x:v>273</x:v>
      </x:c>
      <x:c r="H59" s="2" t="s">
        <x:v>58</x:v>
      </x:c>
      <x:c r="I59" s="2"/>
      <x:c r="J59" s="2" t="s">
        <x:v>274</x:v>
      </x:c>
      <x:c r="K59" s="2"/>
      <x:c r="L59" s="2" t="s">
        <x:v>275</x:v>
      </x:c>
      <x:c r="M59" s="2" t="s">
        <x:v>23</x:v>
      </x:c>
      <x:c r="N59" s="3" t="n">
        <x:v>39060</x:v>
      </x:c>
      <x:c r="O59" s="2" t="s">
        <x:v>37</x:v>
      </x:c>
      <x:c r="P59" s="2" t="s">
        <x:v>25</x:v>
      </x:c>
      <x:c r="Q59" s="2" t="s">
        <x:v>26</x:v>
      </x:c>
      <x:c r="R59" s="2" t="s">
        <x:v>335</x:v>
      </x:c>
    </x:row>
    <x:row r="60" ht="15" hidden="0">
      <x:c r="A60" s="2" t="s">
        <x:v>336</x:v>
      </x:c>
      <x:c r="B60" s="2" t="n">
        <x:f aca="0">LEN(A60)-LEN(SUBSTITUTE(A60,",",""))+1</x:f>
        <x:v>3</x:v>
      </x:c>
      <x:c r="C60" s="2" t="s">
        <x:v>337</x:v>
      </x:c>
      <x:c r="D60" s="2" t="s">
        <x:v>270</x:v>
      </x:c>
      <x:c r="E60" s="2" t="s">
        <x:v>338</x:v>
      </x:c>
      <x:c r="F60" s="2" t="s">
        <x:v>339</x:v>
      </x:c>
      <x:c r="G60" s="2" t="s">
        <x:v>273</x:v>
      </x:c>
      <x:c r="H60" s="2" t="s">
        <x:v>58</x:v>
      </x:c>
      <x:c r="I60" s="2"/>
      <x:c r="J60" s="2" t="s">
        <x:v>274</x:v>
      </x:c>
      <x:c r="K60" s="2"/>
      <x:c r="L60" s="2" t="s">
        <x:v>275</x:v>
      </x:c>
      <x:c r="M60" s="2" t="s">
        <x:v>46</x:v>
      </x:c>
      <x:c r="N60" s="3" t="n">
        <x:v>1195841</x:v>
      </x:c>
      <x:c r="O60" s="2" t="s">
        <x:v>37</x:v>
      </x:c>
      <x:c r="P60" s="2" t="s">
        <x:v>25</x:v>
      </x:c>
      <x:c r="Q60" s="2" t="s">
        <x:v>26</x:v>
      </x:c>
      <x:c r="R60" s="2" t="s">
        <x:v>340</x:v>
      </x:c>
    </x:row>
    <x:row r="61" ht="15" hidden="0">
      <x:c r="A61" s="2" t="s">
        <x:v>341</x:v>
      </x:c>
      <x:c r="B61" s="2" t="n">
        <x:f aca="0">LEN(A61)-LEN(SUBSTITUTE(A61,",",""))+1</x:f>
        <x:v>2</x:v>
      </x:c>
      <x:c r="C61" s="2" t="s">
        <x:v>342</x:v>
      </x:c>
      <x:c r="D61" s="2" t="s">
        <x:v>270</x:v>
      </x:c>
      <x:c r="E61" s="2" t="s">
        <x:v>343</x:v>
      </x:c>
      <x:c r="F61" s="2" t="s">
        <x:v>344</x:v>
      </x:c>
      <x:c r="G61" s="2" t="s">
        <x:v>273</x:v>
      </x:c>
      <x:c r="H61" s="2" t="s">
        <x:v>58</x:v>
      </x:c>
      <x:c r="I61" s="2"/>
      <x:c r="J61" s="2" t="s">
        <x:v>274</x:v>
      </x:c>
      <x:c r="K61" s="2"/>
      <x:c r="L61" s="2" t="s">
        <x:v>275</x:v>
      </x:c>
      <x:c r="M61" s="2" t="s">
        <x:v>46</x:v>
      </x:c>
      <x:c r="N61" s="3" t="n">
        <x:v>840845</x:v>
      </x:c>
      <x:c r="O61" s="2" t="s">
        <x:v>37</x:v>
      </x:c>
      <x:c r="P61" s="2" t="s">
        <x:v>25</x:v>
      </x:c>
      <x:c r="Q61" s="2" t="s">
        <x:v>26</x:v>
      </x:c>
      <x:c r="R61" s="2"/>
    </x:row>
    <x:row r="62" ht="15" hidden="0">
      <x:c r="A62" s="2" t="s">
        <x:v>345</x:v>
      </x:c>
      <x:c r="B62" s="2" t="n">
        <x:f aca="0">LEN(A62)-LEN(SUBSTITUTE(A62,",",""))+1</x:f>
        <x:v>1</x:v>
      </x:c>
      <x:c r="C62" s="2" t="s">
        <x:v>346</x:v>
      </x:c>
      <x:c r="D62" s="2" t="s">
        <x:v>270</x:v>
      </x:c>
      <x:c r="E62" s="2" t="s">
        <x:v>347</x:v>
      </x:c>
      <x:c r="F62" s="2" t="s">
        <x:v>348</x:v>
      </x:c>
      <x:c r="G62" s="2" t="s">
        <x:v>273</x:v>
      </x:c>
      <x:c r="H62" s="2" t="s">
        <x:v>58</x:v>
      </x:c>
      <x:c r="I62" s="2"/>
      <x:c r="J62" s="2" t="s">
        <x:v>274</x:v>
      </x:c>
      <x:c r="K62" s="2"/>
      <x:c r="L62" s="2" t="s">
        <x:v>275</x:v>
      </x:c>
      <x:c r="M62" s="2" t="s">
        <x:v>23</x:v>
      </x:c>
      <x:c r="N62" s="3" t="n">
        <x:v>60782</x:v>
      </x:c>
      <x:c r="O62" s="2" t="s">
        <x:v>37</x:v>
      </x:c>
      <x:c r="P62" s="2" t="s">
        <x:v>25</x:v>
      </x:c>
      <x:c r="Q62" s="2" t="s">
        <x:v>26</x:v>
      </x:c>
      <x:c r="R62" s="2"/>
    </x:row>
    <x:row r="63" ht="15" hidden="0">
      <x:c r="A63" s="2" t="s">
        <x:v>349</x:v>
      </x:c>
      <x:c r="B63" s="2" t="n">
        <x:f aca="0">LEN(A63)-LEN(SUBSTITUTE(A63,",",""))+1</x:f>
        <x:v>1</x:v>
      </x:c>
      <x:c r="C63" s="2" t="s">
        <x:v>337</x:v>
      </x:c>
      <x:c r="D63" s="2" t="s">
        <x:v>278</x:v>
      </x:c>
      <x:c r="E63" s="2" t="s">
        <x:v>350</x:v>
      </x:c>
      <x:c r="F63" s="2" t="s">
        <x:v>351</x:v>
      </x:c>
      <x:c r="G63" s="2" t="s">
        <x:v>273</x:v>
      </x:c>
      <x:c r="H63" s="2" t="s">
        <x:v>281</x:v>
      </x:c>
      <x:c r="I63" s="2"/>
      <x:c r="J63" s="2" t="s">
        <x:v>274</x:v>
      </x:c>
      <x:c r="K63" s="2"/>
      <x:c r="L63" s="2" t="s">
        <x:v>282</x:v>
      </x:c>
      <x:c r="M63" s="2" t="s">
        <x:v>46</x:v>
      </x:c>
      <x:c r="N63" s="3" t="n">
        <x:v>3256483</x:v>
      </x:c>
      <x:c r="O63" s="2" t="s">
        <x:v>37</x:v>
      </x:c>
      <x:c r="P63" s="2" t="s">
        <x:v>25</x:v>
      </x:c>
      <x:c r="Q63" s="2" t="s">
        <x:v>26</x:v>
      </x:c>
      <x:c r="R63" s="2" t="s">
        <x:v>352</x:v>
      </x:c>
    </x:row>
    <x:row r="64" ht="23.850000381469727" hidden="0">
      <x:c r="A64" s="2" t="s">
        <x:v>353</x:v>
      </x:c>
      <x:c r="B64" s="2" t="n">
        <x:f aca="0">LEN(A64)-LEN(SUBSTITUTE(A64,",",""))+1</x:f>
        <x:v>2</x:v>
      </x:c>
      <x:c r="C64" s="2" t="s">
        <x:v>354</x:v>
      </x:c>
      <x:c r="D64" s="2" t="s">
        <x:v>270</x:v>
      </x:c>
      <x:c r="E64" s="2" t="s">
        <x:v>355</x:v>
      </x:c>
      <x:c r="F64" s="2" t="s">
        <x:v>356</x:v>
      </x:c>
      <x:c r="G64" s="2" t="s">
        <x:v>273</x:v>
      </x:c>
      <x:c r="H64" s="2" t="s">
        <x:v>58</x:v>
      </x:c>
      <x:c r="I64" s="2"/>
      <x:c r="J64" s="2" t="s">
        <x:v>274</x:v>
      </x:c>
      <x:c r="K64" s="2"/>
      <x:c r="L64" s="2" t="s">
        <x:v>275</x:v>
      </x:c>
      <x:c r="M64" s="2" t="s">
        <x:v>77</x:v>
      </x:c>
      <x:c r="N64" s="3" t="n">
        <x:v>54795</x:v>
      </x:c>
      <x:c r="O64" s="2" t="s">
        <x:v>37</x:v>
      </x:c>
      <x:c r="P64" s="2" t="s">
        <x:v>25</x:v>
      </x:c>
      <x:c r="Q64" s="2" t="s">
        <x:v>120</x:v>
      </x:c>
      <x:c r="R64" s="2"/>
    </x:row>
    <x:row r="65" ht="23.850000381469727" hidden="0">
      <x:c r="A65" s="2" t="s">
        <x:v>357</x:v>
      </x:c>
      <x:c r="B65" s="2" t="n">
        <x:f aca="0">LEN(A65)-LEN(SUBSTITUTE(A65,",",""))+1</x:f>
        <x:v>2</x:v>
      </x:c>
      <x:c r="C65" s="2" t="s">
        <x:v>277</x:v>
      </x:c>
      <x:c r="D65" s="2" t="s">
        <x:v>358</x:v>
      </x:c>
      <x:c r="E65" s="2" t="s">
        <x:v>359</x:v>
      </x:c>
      <x:c r="F65" s="2" t="s">
        <x:v>360</x:v>
      </x:c>
      <x:c r="G65" s="2" t="s">
        <x:v>273</x:v>
      </x:c>
      <x:c r="H65" s="2" t="s">
        <x:v>361</x:v>
      </x:c>
      <x:c r="I65" s="2"/>
      <x:c r="J65" s="2" t="s">
        <x:v>274</x:v>
      </x:c>
      <x:c r="K65" s="2"/>
      <x:c r="L65" s="2" t="s">
        <x:v>362</x:v>
      </x:c>
      <x:c r="M65" s="2" t="s">
        <x:v>46</x:v>
      </x:c>
      <x:c r="N65" s="3" t="n">
        <x:v>3041326</x:v>
      </x:c>
      <x:c r="O65" s="2" t="s">
        <x:v>37</x:v>
      </x:c>
      <x:c r="P65" s="2" t="s">
        <x:v>25</x:v>
      </x:c>
      <x:c r="Q65" s="2" t="s">
        <x:v>120</x:v>
      </x:c>
      <x:c r="R65" s="2" t="s">
        <x:v>363</x:v>
      </x:c>
    </x:row>
    <x:row r="66" ht="57.45000076293945" hidden="0">
      <x:c r="A66" s="2" t="s">
        <x:v>364</x:v>
      </x:c>
      <x:c r="B66" s="2" t="n">
        <x:f aca="0">LEN(A66)-LEN(SUBSTITUTE(A66,",",""))+1</x:f>
        <x:v>4</x:v>
      </x:c>
      <x:c r="C66" s="2" t="s">
        <x:v>365</x:v>
      </x:c>
      <x:c r="D66" s="2" t="s">
        <x:v>366</x:v>
      </x:c>
      <x:c r="E66" s="2" t="s">
        <x:v>367</x:v>
      </x:c>
      <x:c r="F66" s="2" t="s">
        <x:v>368</x:v>
      </x:c>
      <x:c r="G66" s="2" t="s">
        <x:v>369</x:v>
      </x:c>
      <x:c r="H66" s="2" t="s">
        <x:v>370</x:v>
      </x:c>
      <x:c r="I66" s="2"/>
      <x:c r="J66" s="2" t="s">
        <x:v>274</x:v>
      </x:c>
      <x:c r="K66" s="2"/>
      <x:c r="L66" s="2" t="s">
        <x:v>371</x:v>
      </x:c>
      <x:c r="M66" s="2" t="s">
        <x:v>23</x:v>
      </x:c>
      <x:c r="N66" s="3" t="n">
        <x:v>1117</x:v>
      </x:c>
      <x:c r="O66" s="2" t="s">
        <x:v>37</x:v>
      </x:c>
      <x:c r="P66" s="2" t="s">
        <x:v>25</x:v>
      </x:c>
      <x:c r="Q66" s="2" t="s">
        <x:v>120</x:v>
      </x:c>
      <x:c r="R66" s="2" t="s">
        <x:v>372</x:v>
      </x:c>
    </x:row>
    <x:row r="67" ht="15" hidden="0">
      <x:c r="A67" s="2" t="s">
        <x:v>373</x:v>
      </x:c>
      <x:c r="B67" s="2" t="n">
        <x:f aca="0">LEN(A67)-LEN(SUBSTITUTE(A67,",",""))+1</x:f>
        <x:v>2</x:v>
      </x:c>
      <x:c r="C67" s="2" t="s">
        <x:v>328</x:v>
      </x:c>
      <x:c r="D67" s="2" t="s">
        <x:v>278</x:v>
      </x:c>
      <x:c r="E67" s="2" t="s">
        <x:v>374</x:v>
      </x:c>
      <x:c r="F67" s="2" t="s">
        <x:v>375</x:v>
      </x:c>
      <x:c r="G67" s="2" t="s">
        <x:v>273</x:v>
      </x:c>
      <x:c r="H67" s="2" t="s">
        <x:v>281</x:v>
      </x:c>
      <x:c r="I67" s="2"/>
      <x:c r="J67" s="2" t="s">
        <x:v>274</x:v>
      </x:c>
      <x:c r="K67" s="2"/>
      <x:c r="L67" s="2" t="s">
        <x:v>282</x:v>
      </x:c>
      <x:c r="M67" s="2" t="s">
        <x:v>46</x:v>
      </x:c>
      <x:c r="N67" s="3" t="n">
        <x:v>5690986</x:v>
      </x:c>
      <x:c r="O67" s="2" t="s">
        <x:v>37</x:v>
      </x:c>
      <x:c r="P67" s="2" t="s">
        <x:v>25</x:v>
      </x:c>
      <x:c r="Q67" s="2" t="s">
        <x:v>120</x:v>
      </x:c>
      <x:c r="R67" s="2" t="s">
        <x:v>376</x:v>
      </x:c>
    </x:row>
    <x:row r="68" ht="23.850000381469727" hidden="0">
      <x:c r="A68" s="2" t="s">
        <x:v>377</x:v>
      </x:c>
      <x:c r="B68" s="2" t="n">
        <x:f aca="0">LEN(A68)-LEN(SUBSTITUTE(A68,",",""))+1</x:f>
        <x:v>2</x:v>
      </x:c>
      <x:c r="C68" s="2" t="s">
        <x:v>378</x:v>
      </x:c>
      <x:c r="D68" s="2" t="s">
        <x:v>270</x:v>
      </x:c>
      <x:c r="E68" s="2" t="s">
        <x:v>379</x:v>
      </x:c>
      <x:c r="F68" s="2" t="s">
        <x:v>380</x:v>
      </x:c>
      <x:c r="G68" s="2" t="s">
        <x:v>273</x:v>
      </x:c>
      <x:c r="H68" s="2" t="s">
        <x:v>58</x:v>
      </x:c>
      <x:c r="I68" s="2"/>
      <x:c r="J68" s="2" t="s">
        <x:v>274</x:v>
      </x:c>
      <x:c r="K68" s="2"/>
      <x:c r="L68" s="2" t="s">
        <x:v>275</x:v>
      </x:c>
      <x:c r="M68" s="2" t="s">
        <x:v>46</x:v>
      </x:c>
      <x:c r="N68" s="3" t="n">
        <x:v>15376968</x:v>
      </x:c>
      <x:c r="O68" s="2" t="s">
        <x:v>37</x:v>
      </x:c>
      <x:c r="P68" s="2" t="s">
        <x:v>25</x:v>
      </x:c>
      <x:c r="Q68" s="2" t="s">
        <x:v>120</x:v>
      </x:c>
      <x:c r="R68" s="2" t="s">
        <x:v>381</x:v>
      </x:c>
    </x:row>
    <x:row r="69" ht="15" hidden="0">
      <x:c r="A69" s="2" t="s">
        <x:v>382</x:v>
      </x:c>
      <x:c r="B69" s="2" t="n">
        <x:f aca="0">LEN(A69)-LEN(SUBSTITUTE(A69,",",""))+1</x:f>
        <x:v>1</x:v>
      </x:c>
      <x:c r="C69" s="2" t="s">
        <x:v>383</x:v>
      </x:c>
      <x:c r="D69" s="2" t="s">
        <x:v>384</x:v>
      </x:c>
      <x:c r="E69" s="2" t="s">
        <x:v>385</x:v>
      </x:c>
      <x:c r="F69" s="2" t="s">
        <x:v>386</x:v>
      </x:c>
      <x:c r="G69" s="2" t="s">
        <x:v>387</x:v>
      </x:c>
      <x:c r="H69" s="2"/>
      <x:c r="I69" s="2"/>
      <x:c r="J69" s="2"/>
      <x:c r="K69" s="2"/>
      <x:c r="L69" s="2"/>
      <x:c r="M69" s="2" t="s">
        <x:v>23</x:v>
      </x:c>
      <x:c r="N69" s="3" t="n">
        <x:v>1892</x:v>
      </x:c>
      <x:c r="O69" s="2" t="s">
        <x:v>37</x:v>
      </x:c>
      <x:c r="P69" s="2" t="s">
        <x:v>25</x:v>
      </x:c>
      <x:c r="Q69" s="2" t="s">
        <x:v>38</x:v>
      </x:c>
      <x:c r="R69" s="2"/>
    </x:row>
    <x:row r="70" ht="15" hidden="0">
      <x:c r="A70" s="2" t="s">
        <x:v>388</x:v>
      </x:c>
      <x:c r="B70" s="2" t="n">
        <x:f aca="0">LEN(A70)-LEN(SUBSTITUTE(A70,",",""))+1</x:f>
        <x:v>1</x:v>
      </x:c>
      <x:c r="C70" s="2" t="s">
        <x:v>389</x:v>
      </x:c>
      <x:c r="D70" s="2" t="s">
        <x:v>384</x:v>
      </x:c>
      <x:c r="E70" s="2" t="s">
        <x:v>385</x:v>
      </x:c>
      <x:c r="F70" s="2" t="s">
        <x:v>386</x:v>
      </x:c>
      <x:c r="G70" s="2" t="s">
        <x:v>387</x:v>
      </x:c>
      <x:c r="H70" s="2"/>
      <x:c r="I70" s="2"/>
      <x:c r="J70" s="2"/>
      <x:c r="K70" s="2"/>
      <x:c r="L70" s="2"/>
      <x:c r="M70" s="2" t="s">
        <x:v>23</x:v>
      </x:c>
      <x:c r="N70" s="3" t="n">
        <x:v>1892</x:v>
      </x:c>
      <x:c r="O70" s="2" t="s">
        <x:v>37</x:v>
      </x:c>
      <x:c r="P70" s="2" t="s">
        <x:v>25</x:v>
      </x:c>
      <x:c r="Q70" s="2" t="s">
        <x:v>38</x:v>
      </x:c>
      <x:c r="R70" s="2"/>
    </x:row>
    <x:row r="71" ht="23.850000381469727" hidden="0">
      <x:c r="A71" s="2" t="s">
        <x:v>390</x:v>
      </x:c>
      <x:c r="B71" s="2" t="n">
        <x:f aca="0">LEN(A71)-LEN(SUBSTITUTE(A71,",",""))+1</x:f>
        <x:v>1</x:v>
      </x:c>
      <x:c r="C71" s="2" t="s">
        <x:v>389</x:v>
      </x:c>
      <x:c r="D71" s="2" t="s">
        <x:v>197</x:v>
      </x:c>
      <x:c r="E71" s="2" t="s">
        <x:v>198</x:v>
      </x:c>
      <x:c r="F71" s="2" t="s">
        <x:v>199</x:v>
      </x:c>
      <x:c r="G71" s="2" t="s">
        <x:v>200</x:v>
      </x:c>
      <x:c r="H71" s="2"/>
      <x:c r="I71" s="2"/>
      <x:c r="J71" s="2"/>
      <x:c r="K71" s="2"/>
      <x:c r="L71" s="2"/>
      <x:c r="M71" s="2" t="s">
        <x:v>23</x:v>
      </x:c>
      <x:c r="N71" s="3" t="n">
        <x:v>305696</x:v>
      </x:c>
      <x:c r="O71" s="2" t="s">
        <x:v>24</x:v>
      </x:c>
      <x:c r="P71" s="2" t="s">
        <x:v>25</x:v>
      </x:c>
      <x:c r="Q71" s="2" t="s">
        <x:v>84</x:v>
      </x:c>
      <x:c r="R71" s="2"/>
    </x:row>
    <x:row r="72" ht="35.04999923706055" hidden="0">
      <x:c r="A72" s="2" t="s">
        <x:v>391</x:v>
      </x:c>
      <x:c r="B72" s="2" t="n">
        <x:f aca="0">LEN(A72)-LEN(SUBSTITUTE(A72,",",""))+1</x:f>
        <x:v>1</x:v>
      </x:c>
      <x:c r="C72" s="2" t="s">
        <x:v>392</x:v>
      </x:c>
      <x:c r="D72" s="2" t="s">
        <x:v>393</x:v>
      </x:c>
      <x:c r="E72" s="2" t="s">
        <x:v>394</x:v>
      </x:c>
      <x:c r="F72" s="2" t="s">
        <x:v>392</x:v>
      </x:c>
      <x:c r="G72" s="2" t="s">
        <x:v>395</x:v>
      </x:c>
      <x:c r="H72" s="2"/>
      <x:c r="I72" s="2"/>
      <x:c r="J72" s="2"/>
      <x:c r="K72" s="2"/>
      <x:c r="L72" s="2"/>
      <x:c r="M72" s="2" t="s">
        <x:v>23</x:v>
      </x:c>
      <x:c r="N72" s="3" t="n">
        <x:v>99</x:v>
      </x:c>
      <x:c r="O72" s="2" t="s">
        <x:v>37</x:v>
      </x:c>
      <x:c r="P72" s="2" t="s">
        <x:v>25</x:v>
      </x:c>
      <x:c r="Q72" s="2" t="s">
        <x:v>38</x:v>
      </x:c>
      <x:c r="R72" s="2" t="s">
        <x:v>396</x:v>
      </x:c>
    </x:row>
    <x:row r="73" ht="15" hidden="0">
      <x:c r="A73" s="2" t="s">
        <x:v>397</x:v>
      </x:c>
      <x:c r="B73" s="2" t="n">
        <x:f aca="0">LEN(A73)-LEN(SUBSTITUTE(A73,",",""))+1</x:f>
        <x:v>1</x:v>
      </x:c>
      <x:c r="C73" s="2" t="s">
        <x:v>398</x:v>
      </x:c>
      <x:c r="D73" s="2" t="s">
        <x:v>399</x:v>
      </x:c>
      <x:c r="E73" s="2" t="s">
        <x:v>400</x:v>
      </x:c>
      <x:c r="F73" s="2" t="s">
        <x:v>398</x:v>
      </x:c>
      <x:c r="G73" s="2" t="s">
        <x:v>395</x:v>
      </x:c>
      <x:c r="H73" s="2"/>
      <x:c r="I73" s="2"/>
      <x:c r="J73" s="2"/>
      <x:c r="K73" s="2"/>
      <x:c r="L73" s="2"/>
      <x:c r="M73" s="2" t="s">
        <x:v>23</x:v>
      </x:c>
      <x:c r="N73" s="3" t="n">
        <x:v>2734</x:v>
      </x:c>
      <x:c r="O73" s="2" t="s">
        <x:v>37</x:v>
      </x:c>
      <x:c r="P73" s="2" t="s">
        <x:v>25</x:v>
      </x:c>
      <x:c r="Q73" s="2" t="s">
        <x:v>84</x:v>
      </x:c>
      <x:c r="R73" s="2"/>
    </x:row>
    <x:row r="74" ht="35.04999923706055" hidden="0">
      <x:c r="A74" s="2" t="s">
        <x:v>401</x:v>
      </x:c>
      <x:c r="B74" s="2" t="n">
        <x:f aca="0">LEN(A74)-LEN(SUBSTITUTE(A74,",",""))+1</x:f>
        <x:v>1</x:v>
      </x:c>
      <x:c r="C74" s="2" t="s">
        <x:v>402</x:v>
      </x:c>
      <x:c r="D74" s="2" t="s">
        <x:v>403</x:v>
      </x:c>
      <x:c r="E74" s="2" t="s">
        <x:v>404</x:v>
      </x:c>
      <x:c r="F74" s="2" t="s">
        <x:v>402</x:v>
      </x:c>
      <x:c r="G74" s="2" t="s">
        <x:v>405</x:v>
      </x:c>
      <x:c r="H74" s="2"/>
      <x:c r="I74" s="2"/>
      <x:c r="J74" s="2"/>
      <x:c r="K74" s="2"/>
      <x:c r="L74" s="2"/>
      <x:c r="M74" s="2" t="s">
        <x:v>23</x:v>
      </x:c>
      <x:c r="N74" s="3" t="n">
        <x:v>16686</x:v>
      </x:c>
      <x:c r="O74" s="2" t="s">
        <x:v>37</x:v>
      </x:c>
      <x:c r="P74" s="2" t="s">
        <x:v>25</x:v>
      </x:c>
      <x:c r="Q74" s="2" t="s">
        <x:v>84</x:v>
      </x:c>
      <x:c r="R74" s="2" t="s">
        <x:v>406</x:v>
      </x:c>
    </x:row>
    <x:row r="75" ht="15" hidden="0">
      <x:c r="A75" s="2" t="s">
        <x:v>407</x:v>
      </x:c>
      <x:c r="B75" s="2" t="n">
        <x:f aca="0">LEN(A75)-LEN(SUBSTITUTE(A75,",",""))+1</x:f>
        <x:v>1</x:v>
      </x:c>
      <x:c r="C75" s="2" t="s">
        <x:v>408</x:v>
      </x:c>
      <x:c r="D75" s="2" t="s">
        <x:v>409</x:v>
      </x:c>
      <x:c r="E75" s="2" t="s">
        <x:v>410</x:v>
      </x:c>
      <x:c r="F75" s="2" t="s">
        <x:v>411</x:v>
      </x:c>
      <x:c r="G75" s="2" t="s">
        <x:v>405</x:v>
      </x:c>
      <x:c r="H75" s="2"/>
      <x:c r="I75" s="2"/>
      <x:c r="J75" s="2"/>
      <x:c r="K75" s="2"/>
      <x:c r="L75" s="2"/>
      <x:c r="M75" s="2" t="s">
        <x:v>23</x:v>
      </x:c>
      <x:c r="N75" s="3" t="n">
        <x:v>79374</x:v>
      </x:c>
      <x:c r="O75" s="2" t="s">
        <x:v>37</x:v>
      </x:c>
      <x:c r="P75" s="2" t="s">
        <x:v>25</x:v>
      </x:c>
      <x:c r="Q75" s="2" t="s">
        <x:v>84</x:v>
      </x:c>
      <x:c r="R75" s="2"/>
    </x:row>
    <x:row r="76" ht="15" hidden="0">
      <x:c r="A76" s="2" t="s">
        <x:v>412</x:v>
      </x:c>
      <x:c r="B76" s="2" t="n">
        <x:f aca="0">LEN(A76)-LEN(SUBSTITUTE(A76,",",""))+1</x:f>
        <x:v>1</x:v>
      </x:c>
      <x:c r="C76" s="2" t="s">
        <x:v>413</x:v>
      </x:c>
      <x:c r="D76" s="2" t="s">
        <x:v>414</x:v>
      </x:c>
      <x:c r="E76" s="2" t="s">
        <x:v>415</x:v>
      </x:c>
      <x:c r="F76" s="2" t="s">
        <x:v>416</x:v>
      </x:c>
      <x:c r="G76" s="2" t="s">
        <x:v>417</x:v>
      </x:c>
      <x:c r="H76" s="2"/>
      <x:c r="I76" s="2"/>
      <x:c r="J76" s="2"/>
      <x:c r="K76" s="2"/>
      <x:c r="L76" s="2"/>
      <x:c r="M76" s="2" t="s">
        <x:v>23</x:v>
      </x:c>
      <x:c r="N76" s="3" t="n">
        <x:v>661</x:v>
      </x:c>
      <x:c r="O76" s="2" t="s">
        <x:v>37</x:v>
      </x:c>
      <x:c r="P76" s="2" t="s">
        <x:v>25</x:v>
      </x:c>
      <x:c r="Q76" s="2" t="s">
        <x:v>107</x:v>
      </x:c>
      <x:c r="R76" s="2"/>
    </x:row>
    <x:row r="77" ht="23.850000381469727" hidden="0">
      <x:c r="A77" s="2" t="s">
        <x:v>418</x:v>
      </x:c>
      <x:c r="B77" s="2" t="n">
        <x:f aca="0">LEN(A77)-LEN(SUBSTITUTE(A77,",",""))+1</x:f>
        <x:v>1</x:v>
      </x:c>
      <x:c r="C77" s="2" t="s">
        <x:v>419</x:v>
      </x:c>
      <x:c r="D77" s="2" t="s">
        <x:v>420</x:v>
      </x:c>
      <x:c r="E77" s="2" t="s">
        <x:v>421</x:v>
      </x:c>
      <x:c r="F77" s="2" t="s">
        <x:v>419</x:v>
      </x:c>
      <x:c r="G77" s="2" t="s">
        <x:v>422</x:v>
      </x:c>
      <x:c r="H77" s="2"/>
      <x:c r="I77" s="2"/>
      <x:c r="J77" s="2"/>
      <x:c r="K77" s="2"/>
      <x:c r="L77" s="2"/>
      <x:c r="M77" s="2" t="s">
        <x:v>23</x:v>
      </x:c>
      <x:c r="N77" s="3" t="n">
        <x:v>3323</x:v>
      </x:c>
      <x:c r="O77" s="2" t="s">
        <x:v>37</x:v>
      </x:c>
      <x:c r="P77" s="2" t="s">
        <x:v>25</x:v>
      </x:c>
      <x:c r="Q77" s="2" t="s">
        <x:v>107</x:v>
      </x:c>
      <x:c r="R77" s="2"/>
    </x:row>
    <x:row r="78" ht="35.04999923706055" hidden="0">
      <x:c r="A78" s="2" t="s">
        <x:v>423</x:v>
      </x:c>
      <x:c r="B78" s="2" t="n">
        <x:f aca="0">LEN(A78)-LEN(SUBSTITUTE(A78,",",""))+1</x:f>
        <x:v>1</x:v>
      </x:c>
      <x:c r="C78" s="2" t="s">
        <x:v>424</x:v>
      </x:c>
      <x:c r="D78" s="2" t="s">
        <x:v>425</x:v>
      </x:c>
      <x:c r="E78" s="2" t="s">
        <x:v>426</x:v>
      </x:c>
      <x:c r="F78" s="2" t="s">
        <x:v>424</x:v>
      </x:c>
      <x:c r="G78" s="2" t="s">
        <x:v>422</x:v>
      </x:c>
      <x:c r="H78" s="2"/>
      <x:c r="I78" s="2"/>
      <x:c r="J78" s="2"/>
      <x:c r="K78" s="2"/>
      <x:c r="L78" s="2"/>
      <x:c r="M78" s="2" t="s">
        <x:v>23</x:v>
      </x:c>
      <x:c r="N78" s="3" t="n">
        <x:v>4466</x:v>
      </x:c>
      <x:c r="O78" s="2" t="s">
        <x:v>37</x:v>
      </x:c>
      <x:c r="P78" s="2" t="s">
        <x:v>25</x:v>
      </x:c>
      <x:c r="Q78" s="2" t="s">
        <x:v>107</x:v>
      </x:c>
      <x:c r="R78" s="2"/>
    </x:row>
    <x:row r="79" ht="23.850000381469727" hidden="0">
      <x:c r="A79" s="2" t="s">
        <x:v>427</x:v>
      </x:c>
      <x:c r="B79" s="2" t="n">
        <x:f aca="0">LEN(A79)-LEN(SUBSTITUTE(A79,",",""))+1</x:f>
        <x:v>1</x:v>
      </x:c>
      <x:c r="C79" s="2" t="s">
        <x:v>428</x:v>
      </x:c>
      <x:c r="D79" s="2" t="s">
        <x:v>429</x:v>
      </x:c>
      <x:c r="E79" s="2" t="s">
        <x:v>430</x:v>
      </x:c>
      <x:c r="F79" s="2" t="s">
        <x:v>428</x:v>
      </x:c>
      <x:c r="G79" s="2" t="s">
        <x:v>431</x:v>
      </x:c>
      <x:c r="H79" s="2"/>
      <x:c r="I79" s="2"/>
      <x:c r="J79" s="2"/>
      <x:c r="K79" s="2"/>
      <x:c r="L79" s="2"/>
      <x:c r="M79" s="2" t="s">
        <x:v>23</x:v>
      </x:c>
      <x:c r="N79" s="3" t="n">
        <x:v>10579</x:v>
      </x:c>
      <x:c r="O79" s="2" t="s">
        <x:v>37</x:v>
      </x:c>
      <x:c r="P79" s="2" t="s">
        <x:v>25</x:v>
      </x:c>
      <x:c r="Q79" s="2" t="s">
        <x:v>107</x:v>
      </x:c>
      <x:c r="R79" s="2"/>
    </x:row>
    <x:row r="80" ht="23.850000381469727" hidden="0">
      <x:c r="A80" s="2" t="s">
        <x:v>432</x:v>
      </x:c>
      <x:c r="B80" s="2" t="n">
        <x:f aca="0">LEN(A80)-LEN(SUBSTITUTE(A80,",",""))+1</x:f>
        <x:v>1</x:v>
      </x:c>
      <x:c r="C80" s="2" t="s">
        <x:v>433</x:v>
      </x:c>
      <x:c r="D80" s="2" t="s">
        <x:v>429</x:v>
      </x:c>
      <x:c r="E80" s="2" t="s">
        <x:v>434</x:v>
      </x:c>
      <x:c r="F80" s="2" t="s">
        <x:v>433</x:v>
      </x:c>
      <x:c r="G80" s="2" t="s">
        <x:v>431</x:v>
      </x:c>
      <x:c r="H80" s="2"/>
      <x:c r="I80" s="2"/>
      <x:c r="J80" s="2"/>
      <x:c r="K80" s="2"/>
      <x:c r="L80" s="2"/>
      <x:c r="M80" s="2" t="s">
        <x:v>23</x:v>
      </x:c>
      <x:c r="N80" s="3" t="n">
        <x:v>74</x:v>
      </x:c>
      <x:c r="O80" s="2" t="s">
        <x:v>37</x:v>
      </x:c>
      <x:c r="P80" s="2" t="s">
        <x:v>25</x:v>
      </x:c>
      <x:c r="Q80" s="2" t="s">
        <x:v>107</x:v>
      </x:c>
      <x:c r="R80" s="2" t="s">
        <x:v>435</x:v>
      </x:c>
    </x:row>
    <x:row r="81" ht="35.04999923706055" hidden="0">
      <x:c r="A81" s="2" t="s">
        <x:v>436</x:v>
      </x:c>
      <x:c r="B81" s="2" t="n">
        <x:f aca="0">LEN(A81)-LEN(SUBSTITUTE(A81,",",""))+1</x:f>
        <x:v>1</x:v>
      </x:c>
      <x:c r="C81" s="2" t="s">
        <x:v>437</x:v>
      </x:c>
      <x:c r="D81" s="2" t="s">
        <x:v>438</x:v>
      </x:c>
      <x:c r="E81" s="2" t="s">
        <x:v>439</x:v>
      </x:c>
      <x:c r="F81" s="2" t="s">
        <x:v>437</x:v>
      </x:c>
      <x:c r="G81" s="2" t="s">
        <x:v>440</x:v>
      </x:c>
      <x:c r="H81" s="2"/>
      <x:c r="I81" s="2"/>
      <x:c r="J81" s="2"/>
      <x:c r="K81" s="2"/>
      <x:c r="L81" s="2"/>
      <x:c r="M81" s="2" t="s">
        <x:v>23</x:v>
      </x:c>
      <x:c r="N81" s="3" t="n">
        <x:v>835</x:v>
      </x:c>
      <x:c r="O81" s="2" t="s">
        <x:v>37</x:v>
      </x:c>
      <x:c r="P81" s="2" t="s">
        <x:v>25</x:v>
      </x:c>
      <x:c r="Q81" s="2" t="s">
        <x:v>216</x:v>
      </x:c>
      <x:c r="R81" s="2" t="s">
        <x:v>441</x:v>
      </x:c>
    </x:row>
    <x:row r="82" ht="23.850000381469727" hidden="0">
      <x:c r="A82" s="2" t="s">
        <x:v>442</x:v>
      </x:c>
      <x:c r="B82" s="2" t="n">
        <x:f aca="0">LEN(A82)-LEN(SUBSTITUTE(A82,",",""))+1</x:f>
        <x:v>1</x:v>
      </x:c>
      <x:c r="C82" s="2" t="s">
        <x:v>443</x:v>
      </x:c>
      <x:c r="D82" s="2" t="s">
        <x:v>444</x:v>
      </x:c>
      <x:c r="E82" s="2" t="s">
        <x:v>445</x:v>
      </x:c>
      <x:c r="F82" s="2" t="s">
        <x:v>446</x:v>
      </x:c>
      <x:c r="G82" s="2" t="s">
        <x:v>447</x:v>
      </x:c>
      <x:c r="H82" s="2"/>
      <x:c r="I82" s="2"/>
      <x:c r="J82" s="2"/>
      <x:c r="K82" s="2"/>
      <x:c r="L82" s="2"/>
      <x:c r="M82" s="2" t="s">
        <x:v>23</x:v>
      </x:c>
      <x:c r="N82" s="3" t="n">
        <x:v>9922</x:v>
      </x:c>
      <x:c r="O82" s="2" t="s">
        <x:v>448</x:v>
      </x:c>
      <x:c r="P82" s="2" t="s">
        <x:v>25</x:v>
      </x:c>
      <x:c r="Q82" s="2" t="s">
        <x:v>135</x:v>
      </x:c>
      <x:c r="R82" s="2" t="s">
        <x:v>449</x:v>
      </x:c>
    </x:row>
    <x:row r="83" ht="15" hidden="0">
      <x:c r="A83" s="2" t="s">
        <x:v>450</x:v>
      </x:c>
      <x:c r="B83" s="2" t="n">
        <x:f aca="0">LEN(A83)-LEN(SUBSTITUTE(A83,",",""))+1</x:f>
        <x:v>1</x:v>
      </x:c>
      <x:c r="C83" s="2" t="s">
        <x:v>451</x:v>
      </x:c>
      <x:c r="D83" s="2" t="s">
        <x:v>452</x:v>
      </x:c>
      <x:c r="E83" s="2" t="s">
        <x:v>453</x:v>
      </x:c>
      <x:c r="F83" s="2" t="s">
        <x:v>454</x:v>
      </x:c>
      <x:c r="G83" s="2" t="s">
        <x:v>455</x:v>
      </x:c>
      <x:c r="H83" s="2"/>
      <x:c r="I83" s="2"/>
      <x:c r="J83" s="2"/>
      <x:c r="K83" s="2"/>
      <x:c r="L83" s="2"/>
      <x:c r="M83" s="2" t="s">
        <x:v>46</x:v>
      </x:c>
      <x:c r="N83" s="3" t="n">
        <x:v>198173</x:v>
      </x:c>
      <x:c r="O83" s="2" t="s">
        <x:v>37</x:v>
      </x:c>
      <x:c r="P83" s="2" t="s">
        <x:v>25</x:v>
      </x:c>
      <x:c r="Q83" s="2" t="s">
        <x:v>38</x:v>
      </x:c>
      <x:c r="R83" s="2" t="s">
        <x:v>456</x:v>
      </x:c>
    </x:row>
    <x:row r="84" ht="23.850000381469727" hidden="0">
      <x:c r="A84" s="2" t="s">
        <x:v>457</x:v>
      </x:c>
      <x:c r="B84" s="2" t="n">
        <x:f aca="0">LEN(A84)-LEN(SUBSTITUTE(A84,",",""))+1</x:f>
        <x:v>1</x:v>
      </x:c>
      <x:c r="C84" s="2" t="s">
        <x:v>458</x:v>
      </x:c>
      <x:c r="D84" s="2" t="s">
        <x:v>459</x:v>
      </x:c>
      <x:c r="E84" s="2" t="s">
        <x:v>460</x:v>
      </x:c>
      <x:c r="F84" s="2" t="s">
        <x:v>461</x:v>
      </x:c>
      <x:c r="G84" s="2" t="s">
        <x:v>462</x:v>
      </x:c>
      <x:c r="H84" s="2"/>
      <x:c r="I84" s="2"/>
      <x:c r="J84" s="2"/>
      <x:c r="K84" s="2"/>
      <x:c r="L84" s="2"/>
      <x:c r="M84" s="2" t="s">
        <x:v>23</x:v>
      </x:c>
      <x:c r="N84" s="3" t="n">
        <x:v>4075</x:v>
      </x:c>
      <x:c r="O84" s="2" t="s">
        <x:v>37</x:v>
      </x:c>
      <x:c r="P84" s="2" t="s">
        <x:v>25</x:v>
      </x:c>
      <x:c r="Q84" s="2" t="s">
        <x:v>38</x:v>
      </x:c>
      <x:c r="R84" s="2" t="s">
        <x:v>463</x:v>
      </x:c>
    </x:row>
    <x:row r="85" ht="15" hidden="0">
      <x:c r="A85" s="2"/>
      <x:c r="B85" s="2"/>
      <x:c r="C85" s="2"/>
      <x:c r="D85" s="2"/>
      <x:c r="E85" s="2"/>
      <x:c r="F85" s="2"/>
      <x:c r="G85" s="2"/>
      <x:c r="H85" s="2"/>
      <x:c r="I85" s="2"/>
      <x:c r="J85" s="2"/>
      <x:c r="K85" s="2"/>
      <x:c r="L85" s="2"/>
      <x:c r="M85" s="2"/>
      <x:c r="N85" s="2"/>
      <x:c r="O85" s="2"/>
      <x:c r="P85" s="2"/>
      <x:c r="Q85" s="2"/>
      <x:c r="R85" s="2"/>
    </x:row>
    <x:row r="86" ht="15" hidden="0">
      <x:c r="A86" s="4" t="s">
        <x:v>464</x:v>
      </x:c>
      <x:c r="B86" s="2" t="n">
        <x:f aca="0">SUM(B2:B84)</x:f>
        <x:v>153</x:v>
      </x:c>
      <x:c r="C86" s="2"/>
      <x:c r="D86" s="2"/>
      <x:c r="E86" s="2"/>
      <x:c r="F86" s="2"/>
      <x:c r="G86" s="2"/>
      <x:c r="H86" s="2"/>
      <x:c r="I86" s="2"/>
      <x:c r="J86" s="2"/>
      <x:c r="K86" s="2"/>
      <x:c r="L86" s="2"/>
      <x:c r="M86" s="2"/>
      <x:c r="N86" s="2"/>
      <x:c r="O86" s="2"/>
      <x:c r="P86" s="2"/>
      <x:c r="Q86" s="2"/>
      <x:c r="R86" s="2"/>
    </x:row>
    <x:row r="87" ht="26.850000381469727" hidden="0">
      <x:c r="A87" s="4" t="s">
        <x:v>465</x:v>
      </x:c>
      <x:c r="B87" s="2" t="n">
        <x:f aca="0">COUNTBLANK(E2:E84)</x:f>
        <x:v>0</x:v>
      </x:c>
      <x:c r="C87" s="2"/>
      <x:c r="D87" s="2"/>
      <x:c r="E87" s="2"/>
      <x:c r="F87" s="2"/>
      <x:c r="G87" s="2"/>
      <x:c r="H87" s="2"/>
      <x:c r="I87" s="2"/>
      <x:c r="J87" s="2"/>
      <x:c r="K87" s="2"/>
      <x:c r="L87" s="2"/>
      <x:c r="M87" s="2"/>
      <x:c r="N87" s="2"/>
      <x:c r="O87" s="2"/>
      <x:c r="P87" s="2"/>
      <x:c r="Q87" s="2"/>
      <x:c r="R87" s="2"/>
    </x:row>
    <x:row r="88" ht="64.9000015258789" hidden="0">
      <x:c r="A88" s="4" t="s">
        <x:v>466</x:v>
      </x:c>
      <x:c r="B88" s="2"/>
      <x:c r="C88" s="2"/>
      <x:c r="D88" s="2"/>
      <x:c r="E88" s="2"/>
      <x:c r="F88" s="2"/>
      <x:c r="G88" s="2"/>
      <x:c r="H88" s="2"/>
      <x:c r="I88" s="2"/>
      <x:c r="J88" s="2"/>
      <x:c r="K88" s="2"/>
      <x:c r="L88" s="2"/>
      <x:c r="M88" s="2"/>
      <x:c r="N88" s="2"/>
      <x:c r="O88" s="2"/>
      <x:c r="P88" s="2"/>
      <x:c r="Q88" s="2"/>
      <x:c r="R88" s="2"/>
    </x:row>
  </x:sheetData>
  <x:pageMargins left="0.7" right="0.7" top="0.75" bottom="0.75" header="0.3" footer="0.3"/>
</x:worksheet>
</file>

<file path=xl/worksheets/sheet2.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 width="22" hidden="0" customWidth="1"/>
    <x:col min="2" max="3" width="40" hidden="0" customWidth="1"/>
    <x:col min="4" max="4" width="14" hidden="0" customWidth="1"/>
  </x:cols>
  <x:sheetData>
    <x:row r="1" ht="15" hidden="0">
      <x:c r="A1" s="1" t="s">
        <x:v>467</x:v>
      </x:c>
      <x:c r="B1" s="1" t="s">
        <x:v>468</x:v>
      </x:c>
      <x:c r="C1" s="1" t="s">
        <x:v>3</x:v>
      </x:c>
      <x:c r="D1" s="1" t="s">
        <x:v>469</x:v>
      </x:c>
    </x:row>
    <x:row r="2" ht="15" hidden="0">
      <x:c r="A2" s="2" t="s">
        <x:v>19</x:v>
      </x:c>
      <x:c r="B2" s="2" t="s">
        <x:v>18</x:v>
      </x:c>
      <x:c r="C2" s="2" t="s">
        <x:v>20</x:v>
      </x:c>
      <x:c r="D2" s="2" t="s">
        <x:v>21</x:v>
      </x:c>
    </x:row>
    <x:row r="3" ht="15" hidden="0">
      <x:c r="A3" s="2" t="s">
        <x:v>32</x:v>
      </x:c>
      <x:c r="B3" s="2" t="s">
        <x:v>28</x:v>
      </x:c>
      <x:c r="C3" s="2" t="s">
        <x:v>30</x:v>
      </x:c>
      <x:c r="D3" s="2" t="s">
        <x:v>31</x:v>
      </x:c>
    </x:row>
    <x:row r="4" ht="23.850000381469727" hidden="0">
      <x:c r="A4" s="2" t="s">
        <x:v>44</x:v>
      </x:c>
      <x:c r="B4" s="2" t="s">
        <x:v>470</x:v>
      </x:c>
      <x:c r="C4" s="2" t="s">
        <x:v>42</x:v>
      </x:c>
      <x:c r="D4" s="2" t="s">
        <x:v>43</x:v>
      </x:c>
    </x:row>
    <x:row r="5" ht="15" hidden="0">
      <x:c r="A5" s="2" t="s">
        <x:v>52</x:v>
      </x:c>
      <x:c r="B5" s="2" t="s">
        <x:v>471</x:v>
      </x:c>
      <x:c r="C5" s="2" t="s">
        <x:v>50</x:v>
      </x:c>
      <x:c r="D5" s="2" t="s">
        <x:v>51</x:v>
      </x:c>
    </x:row>
    <x:row r="6" ht="15" hidden="0">
      <x:c r="A6" s="2" t="s">
        <x:v>57</x:v>
      </x:c>
      <x:c r="B6" s="2" t="s">
        <x:v>54</x:v>
      </x:c>
      <x:c r="C6" s="2" t="s">
        <x:v>42</x:v>
      </x:c>
      <x:c r="D6" s="2" t="s">
        <x:v>56</x:v>
      </x:c>
    </x:row>
    <x:row r="7" ht="15" hidden="0">
      <x:c r="A7" s="2" t="s">
        <x:v>63</x:v>
      </x:c>
      <x:c r="B7" s="2" t="s">
        <x:v>472</x:v>
      </x:c>
      <x:c r="C7" s="2" t="s">
        <x:v>42</x:v>
      </x:c>
      <x:c r="D7" s="2" t="s">
        <x:v>62</x:v>
      </x:c>
    </x:row>
    <x:row r="8" ht="15" hidden="0">
      <x:c r="A8" s="2" t="s">
        <x:v>70</x:v>
      </x:c>
      <x:c r="B8" s="2" t="s">
        <x:v>68</x:v>
      </x:c>
      <x:c r="C8" s="2" t="s">
        <x:v>50</x:v>
      </x:c>
      <x:c r="D8" s="2" t="s">
        <x:v>69</x:v>
      </x:c>
    </x:row>
    <x:row r="9" ht="15" hidden="0">
      <x:c r="A9" s="2" t="s">
        <x:v>75</x:v>
      </x:c>
      <x:c r="B9" s="2" t="s">
        <x:v>473</x:v>
      </x:c>
      <x:c r="C9" s="2" t="s">
        <x:v>42</x:v>
      </x:c>
      <x:c r="D9" s="2" t="s">
        <x:v>74</x:v>
      </x:c>
    </x:row>
    <x:row r="10" ht="15" hidden="0">
      <x:c r="A10" s="2" t="s">
        <x:v>82</x:v>
      </x:c>
      <x:c r="B10" s="2" t="s">
        <x:v>474</x:v>
      </x:c>
      <x:c r="C10" s="2" t="s">
        <x:v>30</x:v>
      </x:c>
      <x:c r="D10" s="2" t="s">
        <x:v>81</x:v>
      </x:c>
    </x:row>
    <x:row r="11" ht="15" hidden="0">
      <x:c r="A11" s="2" t="s">
        <x:v>88</x:v>
      </x:c>
      <x:c r="B11" s="2" t="s">
        <x:v>475</x:v>
      </x:c>
      <x:c r="C11" s="2" t="s">
        <x:v>42</x:v>
      </x:c>
      <x:c r="D11" s="2" t="s">
        <x:v>87</x:v>
      </x:c>
    </x:row>
    <x:row r="12" ht="15" hidden="0">
      <x:c r="A12" s="2" t="s">
        <x:v>93</x:v>
      </x:c>
      <x:c r="B12" s="2" t="s">
        <x:v>476</x:v>
      </x:c>
      <x:c r="C12" s="2" t="s">
        <x:v>30</x:v>
      </x:c>
      <x:c r="D12" s="2" t="s">
        <x:v>92</x:v>
      </x:c>
    </x:row>
    <x:row r="13" ht="15" hidden="0">
      <x:c r="A13" s="2" t="s">
        <x:v>100</x:v>
      </x:c>
      <x:c r="B13" s="2" t="s">
        <x:v>96</x:v>
      </x:c>
      <x:c r="C13" s="2" t="s">
        <x:v>98</x:v>
      </x:c>
      <x:c r="D13" s="2" t="s">
        <x:v>99</x:v>
      </x:c>
    </x:row>
    <x:row r="14" ht="15" hidden="0">
      <x:c r="A14" s="2" t="s">
        <x:v>105</x:v>
      </x:c>
      <x:c r="B14" s="2" t="s">
        <x:v>103</x:v>
      </x:c>
      <x:c r="C14" s="2" t="s">
        <x:v>50</x:v>
      </x:c>
      <x:c r="D14" s="2" t="s">
        <x:v>104</x:v>
      </x:c>
    </x:row>
    <x:row r="15" ht="15" hidden="0">
      <x:c r="A15" s="2" t="s">
        <x:v>111</x:v>
      </x:c>
      <x:c r="B15" s="2" t="s">
        <x:v>477</x:v>
      </x:c>
      <x:c r="C15" s="2" t="s">
        <x:v>109</x:v>
      </x:c>
      <x:c r="D15" s="2" t="s">
        <x:v>110</x:v>
      </x:c>
    </x:row>
    <x:row r="16" ht="15" hidden="0">
      <x:c r="A16" s="2" t="s">
        <x:v>119</x:v>
      </x:c>
      <x:c r="B16" s="2" t="s">
        <x:v>478</x:v>
      </x:c>
      <x:c r="C16" s="2" t="s">
        <x:v>50</x:v>
      </x:c>
      <x:c r="D16" s="2" t="s">
        <x:v>118</x:v>
      </x:c>
    </x:row>
    <x:row r="17" ht="15" hidden="0">
      <x:c r="A17" s="2" t="s">
        <x:v>126</x:v>
      </x:c>
      <x:c r="B17" s="2" t="s">
        <x:v>479</x:v>
      </x:c>
      <x:c r="C17" s="2" t="s">
        <x:v>124</x:v>
      </x:c>
      <x:c r="D17" s="2" t="s">
        <x:v>125</x:v>
      </x:c>
    </x:row>
    <x:row r="18" ht="15" hidden="0">
      <x:c r="A18" s="2" t="s">
        <x:v>134</x:v>
      </x:c>
      <x:c r="B18" s="2" t="s">
        <x:v>131</x:v>
      </x:c>
      <x:c r="C18" s="2" t="s">
        <x:v>98</x:v>
      </x:c>
      <x:c r="D18" s="2" t="s">
        <x:v>133</x:v>
      </x:c>
    </x:row>
    <x:row r="19" ht="15" hidden="0">
      <x:c r="A19" s="2" t="s">
        <x:v>138</x:v>
      </x:c>
      <x:c r="B19" s="2" t="s">
        <x:v>137</x:v>
      </x:c>
      <x:c r="C19" s="2" t="s">
        <x:v>139</x:v>
      </x:c>
      <x:c r="D19" s="2" t="s">
        <x:v>140</x:v>
      </x:c>
    </x:row>
    <x:row r="20" ht="15" hidden="0">
      <x:c r="A20" s="2" t="s">
        <x:v>147</x:v>
      </x:c>
      <x:c r="B20" s="2" t="s">
        <x:v>143</x:v>
      </x:c>
      <x:c r="C20" s="2" t="s">
        <x:v>145</x:v>
      </x:c>
      <x:c r="D20" s="2" t="s">
        <x:v>146</x:v>
      </x:c>
    </x:row>
    <x:row r="21" ht="15" hidden="0">
      <x:c r="A21" s="2" t="s">
        <x:v>154</x:v>
      </x:c>
      <x:c r="B21" s="2" t="s">
        <x:v>480</x:v>
      </x:c>
      <x:c r="C21" s="2" t="s">
        <x:v>152</x:v>
      </x:c>
      <x:c r="D21" s="2" t="s">
        <x:v>153</x:v>
      </x:c>
    </x:row>
    <x:row r="22" ht="15" hidden="0">
      <x:c r="A22" s="2" t="s">
        <x:v>166</x:v>
      </x:c>
      <x:c r="B22" s="2" t="s">
        <x:v>481</x:v>
      </x:c>
      <x:c r="C22" s="2" t="s">
        <x:v>164</x:v>
      </x:c>
      <x:c r="D22" s="2" t="s">
        <x:v>165</x:v>
      </x:c>
    </x:row>
    <x:row r="23" ht="15" hidden="0">
      <x:c r="A23" s="2" t="s">
        <x:v>168</x:v>
      </x:c>
      <x:c r="B23" s="2" t="s">
        <x:v>482</x:v>
      </x:c>
      <x:c r="C23" s="2" t="s">
        <x:v>169</x:v>
      </x:c>
      <x:c r="D23" s="2" t="s">
        <x:v>170</x:v>
      </x:c>
    </x:row>
    <x:row r="24" ht="15" hidden="0">
      <x:c r="A24" s="2" t="s">
        <x:v>173</x:v>
      </x:c>
      <x:c r="B24" s="2" t="s">
        <x:v>483</x:v>
      </x:c>
      <x:c r="C24" s="2" t="s">
        <x:v>174</x:v>
      </x:c>
      <x:c r="D24" s="2" t="s">
        <x:v>175</x:v>
      </x:c>
    </x:row>
    <x:row r="25" ht="15" hidden="0">
      <x:c r="A25" s="2" t="s">
        <x:v>181</x:v>
      </x:c>
      <x:c r="B25" s="2" t="s">
        <x:v>177</x:v>
      </x:c>
      <x:c r="C25" s="2" t="s">
        <x:v>179</x:v>
      </x:c>
      <x:c r="D25" s="2" t="s">
        <x:v>180</x:v>
      </x:c>
    </x:row>
    <x:row r="26" ht="15" hidden="0">
      <x:c r="A26" s="2" t="s">
        <x:v>184</x:v>
      </x:c>
      <x:c r="B26" s="2" t="s">
        <x:v>183</x:v>
      </x:c>
      <x:c r="C26" s="2" t="s">
        <x:v>185</x:v>
      </x:c>
      <x:c r="D26" s="2" t="s">
        <x:v>186</x:v>
      </x:c>
    </x:row>
    <x:row r="27" ht="15" hidden="0">
      <x:c r="A27" s="2" t="s">
        <x:v>192</x:v>
      </x:c>
      <x:c r="B27" s="2" t="s">
        <x:v>188</x:v>
      </x:c>
      <x:c r="C27" s="2" t="s">
        <x:v>190</x:v>
      </x:c>
      <x:c r="D27" s="2" t="s">
        <x:v>191</x:v>
      </x:c>
    </x:row>
    <x:row r="28" ht="15" hidden="0">
      <x:c r="A28" s="2" t="s">
        <x:v>208</x:v>
      </x:c>
      <x:c r="B28" s="2" t="s">
        <x:v>204</x:v>
      </x:c>
      <x:c r="C28" s="2" t="s">
        <x:v>206</x:v>
      </x:c>
      <x:c r="D28" s="2" t="s">
        <x:v>207</x:v>
      </x:c>
    </x:row>
    <x:row r="29" ht="15" hidden="0">
      <x:c r="A29" s="2" t="s">
        <x:v>214</x:v>
      </x:c>
      <x:c r="B29" s="2" t="s">
        <x:v>210</x:v>
      </x:c>
      <x:c r="C29" s="2" t="s">
        <x:v>212</x:v>
      </x:c>
      <x:c r="D29" s="2" t="s">
        <x:v>213</x:v>
      </x:c>
    </x:row>
    <x:row r="30" ht="15" hidden="0">
      <x:c r="A30" s="2" t="s">
        <x:v>222</x:v>
      </x:c>
      <x:c r="B30" s="2" t="s">
        <x:v>218</x:v>
      </x:c>
      <x:c r="C30" s="2" t="s">
        <x:v>220</x:v>
      </x:c>
      <x:c r="D30" s="2" t="s">
        <x:v>221</x:v>
      </x:c>
    </x:row>
    <x:row r="31" ht="15" hidden="0">
      <x:c r="A31" s="2" t="s">
        <x:v>228</x:v>
      </x:c>
      <x:c r="B31" s="2" t="s">
        <x:v>484</x:v>
      </x:c>
      <x:c r="C31" s="2" t="s">
        <x:v>226</x:v>
      </x:c>
      <x:c r="D31" s="2" t="s">
        <x:v>227</x:v>
      </x:c>
    </x:row>
    <x:row r="32" ht="23.850000381469727" hidden="0">
      <x:c r="A32" s="2" t="s">
        <x:v>234</x:v>
      </x:c>
      <x:c r="B32" s="2" t="s">
        <x:v>485</x:v>
      </x:c>
      <x:c r="C32" s="2" t="s">
        <x:v>232</x:v>
      </x:c>
      <x:c r="D32" s="2" t="s">
        <x:v>233</x:v>
      </x:c>
    </x:row>
    <x:row r="33" ht="15" hidden="0">
      <x:c r="A33" s="2" t="s">
        <x:v>239</x:v>
      </x:c>
      <x:c r="B33" s="2" t="s">
        <x:v>486</x:v>
      </x:c>
      <x:c r="C33" s="2" t="s">
        <x:v>237</x:v>
      </x:c>
      <x:c r="D33" s="2" t="s">
        <x:v>238</x:v>
      </x:c>
    </x:row>
    <x:row r="34" ht="23.850000381469727" hidden="0">
      <x:c r="A34" s="2" t="str">
        <x:v>WJ128V-5.0-02P-14-00A</x:v>
      </x:c>
      <x:c r="B34" s="2" t="str">
        <x:v>J14</x:v>
      </x:c>
      <x:c r="C34" s="2" t="str">
        <x:v>TerminalBlock_Kangnex_WJ128V-5.0-2P_C8269</x:v>
      </x:c>
      <x:c r="D34" s="2" t="str">
        <x:v>C8269</x:v>
      </x:c>
    </x:row>
    <x:row r="35" ht="15" hidden="0">
      <x:c r="A35" s="2" t="s">
        <x:v>253</x:v>
      </x:c>
      <x:c r="B35" s="2" t="s">
        <x:v>249</x:v>
      </x:c>
      <x:c r="C35" s="2" t="s">
        <x:v>251</x:v>
      </x:c>
      <x:c r="D35" s="2" t="s">
        <x:v>252</x:v>
      </x:c>
    </x:row>
    <x:row r="36" ht="15" hidden="0">
      <x:c r="A36" s="2" t="s">
        <x:v>258</x:v>
      </x:c>
      <x:c r="B36" s="2" t="s">
        <x:v>487</x:v>
      </x:c>
      <x:c r="C36" s="2" t="s">
        <x:v>259</x:v>
      </x:c>
      <x:c r="D36" s="2" t="s">
        <x:v>260</x:v>
      </x:c>
    </x:row>
    <x:row r="37" ht="15" hidden="0">
      <x:c r="A37" s="2" t="s">
        <x:v>264</x:v>
      </x:c>
      <x:c r="B37" s="2" t="s">
        <x:v>488</x:v>
      </x:c>
      <x:c r="C37" s="2" t="s">
        <x:v>265</x:v>
      </x:c>
      <x:c r="D37" s="2" t="s">
        <x:v>266</x:v>
      </x:c>
    </x:row>
    <x:row r="38" ht="15" hidden="0">
      <x:c r="A38" s="2" t="s">
        <x:v>272</x:v>
      </x:c>
      <x:c r="B38" s="2" t="s">
        <x:v>268</x:v>
      </x:c>
      <x:c r="C38" s="2" t="s">
        <x:v>270</x:v>
      </x:c>
      <x:c r="D38" s="2" t="s">
        <x:v>271</x:v>
      </x:c>
    </x:row>
    <x:row r="39" ht="15" hidden="0">
      <x:c r="A39" s="2" t="s">
        <x:v>280</x:v>
      </x:c>
      <x:c r="B39" s="2" t="s">
        <x:v>489</x:v>
      </x:c>
      <x:c r="C39" s="2" t="s">
        <x:v>278</x:v>
      </x:c>
      <x:c r="D39" s="2" t="s">
        <x:v>279</x:v>
      </x:c>
    </x:row>
    <x:row r="40" ht="15" hidden="0">
      <x:c r="A40" s="2" t="s">
        <x:v>285</x:v>
      </x:c>
      <x:c r="B40" s="2" t="s">
        <x:v>490</x:v>
      </x:c>
      <x:c r="C40" s="2" t="s">
        <x:v>270</x:v>
      </x:c>
      <x:c r="D40" s="2" t="s">
        <x:v>284</x:v>
      </x:c>
    </x:row>
    <x:row r="41" ht="15" hidden="0">
      <x:c r="A41" s="2" t="s">
        <x:v>290</x:v>
      </x:c>
      <x:c r="B41" s="2" t="s">
        <x:v>491</x:v>
      </x:c>
      <x:c r="C41" s="2" t="s">
        <x:v>270</x:v>
      </x:c>
      <x:c r="D41" s="2" t="s">
        <x:v>289</x:v>
      </x:c>
    </x:row>
    <x:row r="42" ht="15" hidden="0">
      <x:c r="A42" s="2" t="s">
        <x:v>294</x:v>
      </x:c>
      <x:c r="B42" s="2" t="s">
        <x:v>291</x:v>
      </x:c>
      <x:c r="C42" s="2" t="s">
        <x:v>278</x:v>
      </x:c>
      <x:c r="D42" s="2" t="s">
        <x:v>293</x:v>
      </x:c>
    </x:row>
    <x:row r="43" ht="15" hidden="0">
      <x:c r="A43" s="2" t="s">
        <x:v>298</x:v>
      </x:c>
      <x:c r="B43" s="2" t="s">
        <x:v>295</x:v>
      </x:c>
      <x:c r="C43" s="2" t="s">
        <x:v>270</x:v>
      </x:c>
      <x:c r="D43" s="2" t="s">
        <x:v>297</x:v>
      </x:c>
    </x:row>
    <x:row r="44" ht="23.850000381469727" hidden="0">
      <x:c r="A44" s="2" t="s">
        <x:v>301</x:v>
      </x:c>
      <x:c r="B44" s="2" t="s">
        <x:v>492</x:v>
      </x:c>
      <x:c r="C44" s="2" t="s">
        <x:v>270</x:v>
      </x:c>
      <x:c r="D44" s="2" t="s">
        <x:v>300</x:v>
      </x:c>
    </x:row>
    <x:row r="45" ht="15" hidden="0">
      <x:c r="A45" s="2" t="s">
        <x:v>306</x:v>
      </x:c>
      <x:c r="B45" s="2" t="s">
        <x:v>303</x:v>
      </x:c>
      <x:c r="C45" s="2" t="s">
        <x:v>270</x:v>
      </x:c>
      <x:c r="D45" s="2" t="s">
        <x:v>305</x:v>
      </x:c>
    </x:row>
    <x:row r="46" ht="15" hidden="0">
      <x:c r="A46" s="2" t="s">
        <x:v>311</x:v>
      </x:c>
      <x:c r="B46" s="2" t="s">
        <x:v>308</x:v>
      </x:c>
      <x:c r="C46" s="2" t="s">
        <x:v>270</x:v>
      </x:c>
      <x:c r="D46" s="2" t="s">
        <x:v>310</x:v>
      </x:c>
    </x:row>
    <x:row r="47" ht="15" hidden="0">
      <x:c r="A47" s="2" t="s">
        <x:v>316</x:v>
      </x:c>
      <x:c r="B47" s="2" t="s">
        <x:v>313</x:v>
      </x:c>
      <x:c r="C47" s="2" t="s">
        <x:v>270</x:v>
      </x:c>
      <x:c r="D47" s="2" t="s">
        <x:v>315</x:v>
      </x:c>
    </x:row>
    <x:row r="48" ht="15" hidden="0">
      <x:c r="A48" s="2" t="s">
        <x:v>321</x:v>
      </x:c>
      <x:c r="B48" s="2" t="s">
        <x:v>318</x:v>
      </x:c>
      <x:c r="C48" s="2" t="s">
        <x:v>270</x:v>
      </x:c>
      <x:c r="D48" s="2" t="s">
        <x:v>320</x:v>
      </x:c>
    </x:row>
    <x:row r="49" ht="15" hidden="0">
      <x:c r="A49" s="2" t="s">
        <x:v>326</x:v>
      </x:c>
      <x:c r="B49" s="2" t="s">
        <x:v>493</x:v>
      </x:c>
      <x:c r="C49" s="2" t="s">
        <x:v>270</x:v>
      </x:c>
      <x:c r="D49" s="2" t="s">
        <x:v>325</x:v>
      </x:c>
    </x:row>
    <x:row r="50" ht="15" hidden="0">
      <x:c r="A50" s="2" t="s">
        <x:v>330</x:v>
      </x:c>
      <x:c r="B50" s="2" t="s">
        <x:v>327</x:v>
      </x:c>
      <x:c r="C50" s="2" t="s">
        <x:v>270</x:v>
      </x:c>
      <x:c r="D50" s="2" t="s">
        <x:v>329</x:v>
      </x:c>
    </x:row>
    <x:row r="51" ht="15" hidden="0">
      <x:c r="A51" s="2" t="s">
        <x:v>334</x:v>
      </x:c>
      <x:c r="B51" s="2" t="s">
        <x:v>331</x:v>
      </x:c>
      <x:c r="C51" s="2" t="s">
        <x:v>270</x:v>
      </x:c>
      <x:c r="D51" s="2" t="s">
        <x:v>333</x:v>
      </x:c>
    </x:row>
    <x:row r="52" ht="15" hidden="0">
      <x:c r="A52" s="2" t="s">
        <x:v>339</x:v>
      </x:c>
      <x:c r="B52" s="2" t="s">
        <x:v>494</x:v>
      </x:c>
      <x:c r="C52" s="2" t="s">
        <x:v>270</x:v>
      </x:c>
      <x:c r="D52" s="2" t="s">
        <x:v>338</x:v>
      </x:c>
    </x:row>
    <x:row r="53" ht="15" hidden="0">
      <x:c r="A53" s="2" t="s">
        <x:v>344</x:v>
      </x:c>
      <x:c r="B53" s="2" t="s">
        <x:v>495</x:v>
      </x:c>
      <x:c r="C53" s="2" t="s">
        <x:v>270</x:v>
      </x:c>
      <x:c r="D53" s="2" t="s">
        <x:v>343</x:v>
      </x:c>
    </x:row>
    <x:row r="54" ht="15" hidden="0">
      <x:c r="A54" s="2" t="s">
        <x:v>348</x:v>
      </x:c>
      <x:c r="B54" s="2" t="s">
        <x:v>345</x:v>
      </x:c>
      <x:c r="C54" s="2" t="s">
        <x:v>270</x:v>
      </x:c>
      <x:c r="D54" s="2" t="s">
        <x:v>347</x:v>
      </x:c>
    </x:row>
    <x:row r="55" ht="15" hidden="0">
      <x:c r="A55" s="2" t="s">
        <x:v>351</x:v>
      </x:c>
      <x:c r="B55" s="2" t="s">
        <x:v>349</x:v>
      </x:c>
      <x:c r="C55" s="2" t="s">
        <x:v>278</x:v>
      </x:c>
      <x:c r="D55" s="2" t="s">
        <x:v>350</x:v>
      </x:c>
    </x:row>
    <x:row r="56" ht="15" hidden="0">
      <x:c r="A56" s="2" t="s">
        <x:v>356</x:v>
      </x:c>
      <x:c r="B56" s="2" t="s">
        <x:v>496</x:v>
      </x:c>
      <x:c r="C56" s="2" t="s">
        <x:v>270</x:v>
      </x:c>
      <x:c r="D56" s="2" t="s">
        <x:v>355</x:v>
      </x:c>
    </x:row>
    <x:row r="57" ht="15" hidden="0">
      <x:c r="A57" s="2" t="s">
        <x:v>360</x:v>
      </x:c>
      <x:c r="B57" s="2" t="s">
        <x:v>497</x:v>
      </x:c>
      <x:c r="C57" s="2" t="s">
        <x:v>358</x:v>
      </x:c>
      <x:c r="D57" s="2" t="s">
        <x:v>359</x:v>
      </x:c>
    </x:row>
    <x:row r="58" ht="15" hidden="0">
      <x:c r="A58" s="2" t="s">
        <x:v>368</x:v>
      </x:c>
      <x:c r="B58" s="2" t="s">
        <x:v>498</x:v>
      </x:c>
      <x:c r="C58" s="2" t="s">
        <x:v>366</x:v>
      </x:c>
      <x:c r="D58" s="2" t="s">
        <x:v>367</x:v>
      </x:c>
    </x:row>
    <x:row r="59" ht="15" hidden="0">
      <x:c r="A59" s="2" t="s">
        <x:v>375</x:v>
      </x:c>
      <x:c r="B59" s="2" t="s">
        <x:v>499</x:v>
      </x:c>
      <x:c r="C59" s="2" t="s">
        <x:v>278</x:v>
      </x:c>
      <x:c r="D59" s="2" t="s">
        <x:v>374</x:v>
      </x:c>
    </x:row>
    <x:row r="60" ht="15" hidden="0">
      <x:c r="A60" s="2" t="s">
        <x:v>380</x:v>
      </x:c>
      <x:c r="B60" s="2" t="s">
        <x:v>500</x:v>
      </x:c>
      <x:c r="C60" s="2" t="s">
        <x:v>270</x:v>
      </x:c>
      <x:c r="D60" s="2" t="s">
        <x:v>379</x:v>
      </x:c>
    </x:row>
    <x:row r="61" ht="15" hidden="0">
      <x:c r="A61" s="2" t="s">
        <x:v>386</x:v>
      </x:c>
      <x:c r="B61" s="2" t="s">
        <x:v>501</x:v>
      </x:c>
      <x:c r="C61" s="2" t="s">
        <x:v>384</x:v>
      </x:c>
      <x:c r="D61" s="2" t="s">
        <x:v>385</x:v>
      </x:c>
    </x:row>
    <x:row r="62" ht="15" hidden="0">
      <x:c r="A62" s="2" t="s">
        <x:v>199</x:v>
      </x:c>
      <x:c r="B62" s="2" t="s">
        <x:v>390</x:v>
      </x:c>
      <x:c r="C62" s="2" t="s">
        <x:v>197</x:v>
      </x:c>
      <x:c r="D62" s="2" t="s">
        <x:v>198</x:v>
      </x:c>
    </x:row>
    <x:row r="63" ht="15" hidden="0">
      <x:c r="A63" s="2" t="s">
        <x:v>392</x:v>
      </x:c>
      <x:c r="B63" s="2" t="s">
        <x:v>391</x:v>
      </x:c>
      <x:c r="C63" s="2" t="s">
        <x:v>393</x:v>
      </x:c>
      <x:c r="D63" s="2" t="s">
        <x:v>394</x:v>
      </x:c>
    </x:row>
    <x:row r="64" ht="15" hidden="0">
      <x:c r="A64" s="2" t="s">
        <x:v>398</x:v>
      </x:c>
      <x:c r="B64" s="2" t="s">
        <x:v>397</x:v>
      </x:c>
      <x:c r="C64" s="2" t="s">
        <x:v>399</x:v>
      </x:c>
      <x:c r="D64" s="2" t="s">
        <x:v>400</x:v>
      </x:c>
    </x:row>
    <x:row r="65" ht="15" hidden="0">
      <x:c r="A65" s="2" t="s">
        <x:v>402</x:v>
      </x:c>
      <x:c r="B65" s="2" t="s">
        <x:v>401</x:v>
      </x:c>
      <x:c r="C65" s="2" t="s">
        <x:v>403</x:v>
      </x:c>
      <x:c r="D65" s="2" t="s">
        <x:v>404</x:v>
      </x:c>
    </x:row>
    <x:row r="66" ht="15" hidden="0">
      <x:c r="A66" s="2" t="s">
        <x:v>411</x:v>
      </x:c>
      <x:c r="B66" s="2" t="s">
        <x:v>407</x:v>
      </x:c>
      <x:c r="C66" s="2" t="s">
        <x:v>409</x:v>
      </x:c>
      <x:c r="D66" s="2" t="s">
        <x:v>410</x:v>
      </x:c>
    </x:row>
    <x:row r="67" ht="15" hidden="0">
      <x:c r="A67" s="2" t="s">
        <x:v>416</x:v>
      </x:c>
      <x:c r="B67" s="2" t="s">
        <x:v>412</x:v>
      </x:c>
      <x:c r="C67" s="2" t="s">
        <x:v>414</x:v>
      </x:c>
      <x:c r="D67" s="2" t="s">
        <x:v>415</x:v>
      </x:c>
    </x:row>
    <x:row r="68" ht="15" hidden="0">
      <x:c r="A68" s="2" t="s">
        <x:v>419</x:v>
      </x:c>
      <x:c r="B68" s="2" t="s">
        <x:v>418</x:v>
      </x:c>
      <x:c r="C68" s="2" t="s">
        <x:v>420</x:v>
      </x:c>
      <x:c r="D68" s="2" t="s">
        <x:v>421</x:v>
      </x:c>
    </x:row>
    <x:row r="69" ht="23.850000381469727" hidden="0">
      <x:c r="A69" s="2" t="s">
        <x:v>424</x:v>
      </x:c>
      <x:c r="B69" s="2" t="s">
        <x:v>423</x:v>
      </x:c>
      <x:c r="C69" s="2" t="s">
        <x:v>425</x:v>
      </x:c>
      <x:c r="D69" s="2" t="s">
        <x:v>426</x:v>
      </x:c>
    </x:row>
    <x:row r="70" ht="15" hidden="0">
      <x:c r="A70" s="2" t="s">
        <x:v>428</x:v>
      </x:c>
      <x:c r="B70" s="2" t="s">
        <x:v>427</x:v>
      </x:c>
      <x:c r="C70" s="2" t="s">
        <x:v>429</x:v>
      </x:c>
      <x:c r="D70" s="2" t="s">
        <x:v>430</x:v>
      </x:c>
    </x:row>
    <x:row r="71" ht="15" hidden="0">
      <x:c r="A71" s="2" t="s">
        <x:v>433</x:v>
      </x:c>
      <x:c r="B71" s="2" t="s">
        <x:v>432</x:v>
      </x:c>
      <x:c r="C71" s="2" t="s">
        <x:v>429</x:v>
      </x:c>
      <x:c r="D71" s="2" t="s">
        <x:v>434</x:v>
      </x:c>
    </x:row>
    <x:row r="72" ht="15" hidden="0">
      <x:c r="A72" s="2" t="s">
        <x:v>437</x:v>
      </x:c>
      <x:c r="B72" s="2" t="s">
        <x:v>436</x:v>
      </x:c>
      <x:c r="C72" s="2" t="s">
        <x:v>438</x:v>
      </x:c>
      <x:c r="D72" s="2" t="s">
        <x:v>439</x:v>
      </x:c>
    </x:row>
    <x:row r="73" ht="15" hidden="0">
      <x:c r="A73" s="2" t="s">
        <x:v>454</x:v>
      </x:c>
      <x:c r="B73" s="2" t="s">
        <x:v>450</x:v>
      </x:c>
      <x:c r="C73" s="2" t="s">
        <x:v>452</x:v>
      </x:c>
      <x:c r="D73" s="2" t="s">
        <x:v>453</x:v>
      </x:c>
    </x:row>
    <x:row r="74" ht="15" hidden="0">
      <x:c r="A74" s="2" t="s">
        <x:v>461</x:v>
      </x:c>
      <x:c r="B74" s="2" t="s">
        <x:v>457</x:v>
      </x:c>
      <x:c r="C74" s="2" t="s">
        <x:v>459</x:v>
      </x:c>
      <x:c r="D74" s="2" t="s">
        <x:v>460</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 width="40" hidden="0" customWidth="1"/>
    <x:col min="2" max="2" width="14" hidden="0" customWidth="1"/>
    <x:col min="3" max="3" width="18" hidden="0" customWidth="1"/>
    <x:col min="4" max="4" width="34" hidden="0" customWidth="1"/>
    <x:col min="5" max="5" width="6" hidden="0" customWidth="1"/>
    <x:col min="6" max="6" width="70" hidden="0" customWidth="1"/>
  </x:cols>
  <x:sheetData>
    <x:row r="1" ht="15" hidden="0">
      <x:c r="A1" s="1" t="s">
        <x:v>502</x:v>
      </x:c>
      <x:c r="B1" s="1" t="s">
        <x:v>468</x:v>
      </x:c>
      <x:c r="C1" s="1" t="s">
        <x:v>4</x:v>
      </x:c>
      <x:c r="D1" s="1" t="s">
        <x:v>5</x:v>
      </x:c>
      <x:c r="E1" s="1" t="s">
        <x:v>1</x:v>
      </x:c>
      <x:c r="F1" s="1" t="s">
        <x:v>503</x:v>
      </x:c>
    </x:row>
    <x:row r="2" ht="15" hidden="0">
      <x:c r="A2" s="2" t="str">
        <x:v>Drogue screw terminal (bottom side)</x:v>
      </x:c>
      <x:c r="B2" s="2" t="str">
        <x:v>J13</x:v>
      </x:c>
      <x:c r="C2" s="2" t="str">
        <x:v>C8269</x:v>
      </x:c>
      <x:c r="D2" s="2" t="str">
        <x:v>WJ128V-5.0-02P-14-00A</x:v>
      </x:c>
      <x:c r="E2" s="2" t="n">
        <x:v>1</x:v>
      </x:c>
      <x:c r="F2" s="2" t="str">
        <x:v>Fixed terminal on B.Cu; hand-solder after top-side assembly. No mating plug.</x:v>
      </x:c>
    </x:row>
    <x:row r="3" ht="35.04999923706055" hidden="0">
      <x:c r="A3" s="2" t="s">
        <x:v>504</x:v>
      </x:c>
      <x:c r="B3" s="2" t="s">
        <x:v>195</x:v>
      </x:c>
      <x:c r="C3" s="2" t="s">
        <x:v>198</x:v>
      </x:c>
      <x:c r="D3" s="2" t="s">
        <x:v>199</x:v>
      </x:c>
      <x:c r="E3" s="2" t="n">
        <x:v>1</x:v>
      </x:c>
      <x:c r="F3" s="2" t="s">
        <x:v>505</x:v>
      </x:c>
    </x:row>
    <x:row r="4" ht="23.850000381469727" hidden="0">
      <x:c r="A4" s="2" t="str">
        <x:v>Obsolete terminal plugs — do not purchase</x:v>
      </x:c>
      <x:c r="B4" s="2" t="str">
        <x:v>Former mates for J13, J14</x:v>
      </x:c>
      <x:c r="C4" s="2"/>
      <x:c r="D4" s="2"/>
      <x:c r="E4" s="2" t="n">
        <x:v>0</x:v>
      </x:c>
      <x:c r="F4" s="2" t="str">
        <x:v>C8269 is a fixed screw terminal. Separate C63303 plugs are no longer required.</x:v>
      </x:c>
    </x:row>
    <x:row r="5" ht="23.850000381469727" hidden="0">
      <x:c r="A5" s="2" t="s">
        <x:v>506</x:v>
      </x:c>
      <x:c r="B5" s="2" t="s">
        <x:v>507</x:v>
      </x:c>
      <x:c r="C5" s="2"/>
      <x:c r="D5" s="2" t="s">
        <x:v>508</x:v>
      </x:c>
      <x:c r="E5" s="2" t="n">
        <x:v>1</x:v>
      </x:c>
      <x:c r="F5" s="2" t="s">
        <x:v>509</x:v>
      </x:c>
    </x:row>
    <x:row r="6" ht="23.850000381469727" hidden="0">
      <x:c r="A6" s="2" t="s">
        <x:v>510</x:v>
      </x:c>
      <x:c r="B6" s="2" t="s">
        <x:v>511</x:v>
      </x:c>
      <x:c r="C6" s="2" t="s">
        <x:v>512</x:v>
      </x:c>
      <x:c r="D6" s="2" t="s">
        <x:v>513</x:v>
      </x:c>
      <x:c r="E6" s="2" t="n">
        <x:v>1</x:v>
      </x:c>
      <x:c r="F6" s="2" t="s">
        <x:v>514</x:v>
      </x:c>
    </x:row>
    <x:row r="7" ht="23.850000381469727" hidden="0">
      <x:c r="A7" s="2" t="s">
        <x:v>515</x:v>
      </x:c>
      <x:c r="B7" s="2" t="s">
        <x:v>210</x:v>
      </x:c>
      <x:c r="C7" s="2"/>
      <x:c r="D7" s="2" t="s">
        <x:v>516</x:v>
      </x:c>
      <x:c r="E7" s="2" t="n">
        <x:v>1</x:v>
      </x:c>
      <x:c r="F7" s="2" t="s">
        <x:v>517</x:v>
      </x:c>
    </x:row>
    <x:row r="8" ht="15" hidden="0">
      <x:c r="A8" s="2" t="s">
        <x:v>518</x:v>
      </x:c>
      <x:c r="B8" s="2" t="s">
        <x:v>442</x:v>
      </x:c>
      <x:c r="C8" s="2" t="s">
        <x:v>519</x:v>
      </x:c>
      <x:c r="D8" s="2" t="s">
        <x:v>520</x:v>
      </x:c>
      <x:c r="E8" s="2" t="n">
        <x:v>1</x:v>
      </x:c>
      <x:c r="F8" s="2" t="s">
        <x:v>521</x:v>
      </x:c>
    </x:row>
    <x:row r="9" ht="15" hidden="0">
      <x:c r="A9" s="2" t="s">
        <x:v>522</x:v>
      </x:c>
      <x:c r="B9" s="2" t="s">
        <x:v>523</x:v>
      </x:c>
      <x:c r="C9" s="2"/>
      <x:c r="D9" s="2" t="s">
        <x:v>524</x:v>
      </x:c>
      <x:c r="E9" s="2" t="n">
        <x:v>2</x:v>
      </x:c>
      <x:c r="F9" s="2" t="s">
        <x:v>525</x:v>
      </x:c>
    </x:row>
    <x:row r="10" ht="15" hidden="0">
      <x:c r="A10" s="2" t="s">
        <x:v>526</x:v>
      </x:c>
      <x:c r="B10" s="2" t="s">
        <x:v>527</x:v>
      </x:c>
      <x:c r="C10" s="2"/>
      <x:c r="D10" s="2" t="s">
        <x:v>528</x:v>
      </x:c>
      <x:c r="E10" s="2" t="n">
        <x:v>4</x:v>
      </x:c>
      <x:c r="F10" s="2" t="s">
        <x:v>529</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 width="16" hidden="0" customWidth="1"/>
    <x:col min="2" max="2" width="70" hidden="0" customWidth="1"/>
    <x:col min="3" max="3" width="80" hidden="0" customWidth="1"/>
  </x:cols>
  <x:sheetData>
    <x:row r="1" ht="15" hidden="0">
      <x:c r="A1" s="1" t="s">
        <x:v>530</x:v>
      </x:c>
      <x:c r="B1" s="1" t="s">
        <x:v>531</x:v>
      </x:c>
      <x:c r="C1" s="1" t="s">
        <x:v>532</x:v>
      </x:c>
    </x:row>
    <x:row r="2" ht="46.25" hidden="0">
      <x:c r="A2" s="2" t="s">
        <x:v>533</x:v>
      </x:c>
      <x:c r="B2" s="2" t="s">
        <x:v>534</x:v>
      </x:c>
      <x:c r="C2" s="2" t="s">
        <x:v>535</x:v>
      </x:c>
    </x:row>
    <x:row r="3" ht="46.25" hidden="0">
      <x:c r="A3" s="2" t="s">
        <x:v>536</x:v>
      </x:c>
      <x:c r="B3" s="2" t="s">
        <x:v>537</x:v>
      </x:c>
      <x:c r="C3" s="2" t="s">
        <x:v>538</x:v>
      </x:c>
    </x:row>
    <x:row r="4" ht="35.04999923706055" hidden="0">
      <x:c r="A4" s="2" t="s">
        <x:v>539</x:v>
      </x:c>
      <x:c r="B4" s="2" t="s">
        <x:v>540</x:v>
      </x:c>
      <x:c r="C4" s="2" t="s">
        <x:v>541</x:v>
      </x:c>
    </x:row>
    <x:row r="5" ht="35.04999923706055" hidden="0">
      <x:c r="A5" s="2" t="s">
        <x:v>542</x:v>
      </x:c>
      <x:c r="B5" s="2" t="s">
        <x:v>543</x:v>
      </x:c>
      <x:c r="C5" s="2" t="s">
        <x:v>544</x:v>
      </x:c>
    </x:row>
    <x:row r="6" ht="57.45000076293945" hidden="0">
      <x:c r="A6" s="2" t="s">
        <x:v>545</x:v>
      </x:c>
      <x:c r="B6" s="2" t="s">
        <x:v>546</x:v>
      </x:c>
      <x:c r="C6" s="2" t="s">
        <x:v>547</x:v>
      </x:c>
    </x:row>
    <x:row r="7" ht="23.850000381469727" hidden="0">
      <x:c r="A7" s="2" t="s">
        <x:v>548</x:v>
      </x:c>
      <x:c r="B7" s="2" t="s">
        <x:v>549</x:v>
      </x:c>
      <x:c r="C7" s="2" t="s">
        <x:v>550</x:v>
      </x:c>
    </x:row>
    <x:row r="8" ht="35.04999923706055" hidden="0">
      <x:c r="A8" s="2" t="s">
        <x:v>551</x:v>
      </x:c>
      <x:c r="B8" s="2" t="s">
        <x:v>552</x:v>
      </x:c>
      <x:c r="C8" s="2" t="s">
        <x:v>553</x:v>
      </x:c>
    </x:row>
    <x:row r="9" ht="23.850000381469727" hidden="0">
      <x:c r="A9" s="2" t="s">
        <x:v>554</x:v>
      </x:c>
      <x:c r="B9" s="2" t="s">
        <x:v>555</x:v>
      </x:c>
      <x:c r="C9" s="2" t="s">
        <x:v>556</x:v>
      </x:c>
    </x:row>
    <x:row r="10" ht="57.45000076293945" hidden="0">
      <x:c r="A10" s="2" t="s">
        <x:v>557</x:v>
      </x:c>
      <x:c r="B10" s="2" t="s">
        <x:v>558</x:v>
      </x:c>
      <x:c r="C10" s="2" t="s">
        <x:v>559</x:v>
      </x:c>
    </x:row>
    <x:row r="11" ht="15" hidden="0">
      <x:c r="A11" s="2" t="s">
        <x:v>560</x:v>
      </x:c>
      <x:c r="B11" s="2" t="s">
        <x:v>561</x:v>
      </x:c>
      <x:c r="C11" s="2" t="s">
        <x:v>562</x:v>
      </x:c>
    </x:row>
    <x:row r="12" ht="15" hidden="0">
      <x:c r="A12" s="2" t="s">
        <x:v>563</x:v>
      </x:c>
      <x:c r="B12" s="2" t="s">
        <x:v>564</x:v>
      </x:c>
      <x:c r="C12" s="2" t="s">
        <x:v>565</x:v>
      </x:c>
    </x:row>
    <x:row r="13" ht="23.850000381469727" hidden="0">
      <x:c r="A13" s="2" t="s">
        <x:v>566</x:v>
      </x:c>
      <x:c r="B13" s="2" t="s">
        <x:v>567</x:v>
      </x:c>
      <x:c r="C13" s="2" t="s">
        <x:v>568</x:v>
      </x:c>
    </x:row>
    <x:row r="14" ht="15" hidden="0">
      <x:c r="A14" s="2" t="s">
        <x:v>161</x:v>
      </x:c>
      <x:c r="B14" s="2" t="s">
        <x:v>569</x:v>
      </x:c>
      <x:c r="C14" s="2" t="s">
        <x:v>570</x:v>
      </x:c>
    </x:row>
    <x:row r="15" ht="23.850000381469727" hidden="0">
      <x:c r="A15" s="2" t="s">
        <x:v>571</x:v>
      </x:c>
      <x:c r="B15" s="2" t="s">
        <x:v>572</x:v>
      </x:c>
      <x:c r="C15" s="2" t="s">
        <x:v>573</x:v>
      </x:c>
    </x:row>
    <x:row r="16" ht="102.19999694824219" hidden="0">
      <x:c r="A16" s="2" t="s">
        <x:v>574</x:v>
      </x:c>
      <x:c r="B16" s="2" t="s">
        <x:v>575</x:v>
      </x:c>
      <x:c r="C16" s="2" t="s">
        <x:v>576</x:v>
      </x:c>
    </x:row>
    <x:row r="17" ht="46.25" hidden="0">
      <x:c r="A17" s="2" t="s">
        <x:v>577</x:v>
      </x:c>
      <x:c r="B17" s="2" t="s">
        <x:v>578</x:v>
      </x:c>
      <x:c r="C17" s="2" t="s">
        <x:v>579</x:v>
      </x:c>
    </x:row>
    <x:row r="18" ht="46.25" hidden="0">
      <x:c r="A18" s="2" t="s">
        <x:v>580</x:v>
      </x:c>
      <x:c r="B18" s="2" t="s">
        <x:v>581</x:v>
      </x:c>
      <x:c r="C18" s="2" t="s">
        <x:v>582</x:v>
      </x:c>
    </x:row>
    <x:row r="19" ht="23.850000381469727" hidden="0">
      <x:c r="A19" s="2" t="s">
        <x:v>583</x:v>
      </x:c>
      <x:c r="B19" s="2"/>
      <x:c r="C19" s="2"/>
    </x:row>
    <x:row r="20" ht="57.45000076293945" hidden="0">
      <x:c r="A20" s="2" t="s">
        <x:v>584</x:v>
      </x:c>
      <x:c r="B20" s="2" t="s">
        <x:v>585</x:v>
      </x:c>
      <x:c r="C20" s="2" t="s">
        <x:v>586</x:v>
      </x:c>
    </x:row>
    <x:row r="21" ht="15" hidden="0">
      <x:c r="A21" s="2" t="s">
        <x:v>587</x:v>
      </x:c>
      <x:c r="B21" s="2" t="s">
        <x:v>588</x:v>
      </x:c>
      <x:c r="C21" s="2" t="s">
        <x:v>589</x:v>
      </x:c>
    </x:row>
    <x:row r="22" ht="15" hidden="0">
      <x:c r="A22" s="2" t="s">
        <x:v>511</x:v>
      </x:c>
      <x:c r="B22" s="2" t="s">
        <x:v>590</x:v>
      </x:c>
      <x:c r="C22" s="2" t="s">
        <x:v>591</x:v>
      </x:c>
    </x:row>
    <x:row r="23" ht="35.04999923706055" hidden="0">
      <x:c r="A23" s="2" t="s">
        <x:v>592</x:v>
      </x:c>
      <x:c r="B23" s="2" t="s">
        <x:v>593</x:v>
      </x:c>
      <x:c r="C23" s="2" t="s">
        <x:v>594</x:v>
      </x:c>
    </x:row>
    <x:row r="24" ht="35.04999923706055" hidden="0">
      <x:c r="A24" s="2" t="s">
        <x:v>595</x:v>
      </x:c>
      <x:c r="B24" s="2" t="s">
        <x:v>596</x:v>
      </x:c>
      <x:c r="C24" s="2" t="s">
        <x:v>597</x:v>
      </x:c>
    </x:row>
    <x:row r="25" ht="23.850000381469727" hidden="0">
      <x:c r="A25" s="2" t="s">
        <x:v>598</x:v>
      </x:c>
      <x:c r="B25" s="2" t="s">
        <x:v>599</x:v>
      </x:c>
      <x:c r="C25" s="2" t="s">
        <x:v>600</x:v>
      </x:c>
    </x:row>
    <x:row r="26" ht="23.850000381469727" hidden="0">
      <x:c r="A26" s="2" t="s">
        <x:v>601</x:v>
      </x:c>
      <x:c r="B26" s="2" t="s">
        <x:v>602</x:v>
      </x:c>
      <x:c r="C26" s="2" t="s">
        <x:v>603</x:v>
      </x:c>
    </x:row>
    <x:row r="27" ht="46.25" hidden="0">
      <x:c r="A27" s="2" t="s">
        <x:v>604</x:v>
      </x:c>
      <x:c r="B27" s="2" t="s">
        <x:v>605</x:v>
      </x:c>
      <x:c r="C27" s="2" t="s">
        <x:v>606</x:v>
      </x:c>
    </x:row>
    <x:row r="28" ht="46.25" hidden="0">
      <x:c r="A28" s="2" t="s">
        <x:v>607</x:v>
      </x:c>
      <x:c r="B28" s="2" t="s">
        <x:v>608</x:v>
      </x:c>
      <x:c r="C28" s="2" t="s">
        <x:v>609</x:v>
      </x:c>
    </x:row>
    <x:row r="29" ht="35.04999923706055" hidden="0">
      <x:c r="A29" s="2" t="s">
        <x:v>610</x:v>
      </x:c>
      <x:c r="B29" s="2" t="s">
        <x:v>611</x:v>
      </x:c>
      <x:c r="C29" s="2" t="s">
        <x:v>612</x:v>
      </x:c>
    </x:row>
    <x:row r="30" ht="46.25" hidden="0">
      <x:c r="A30" s="2" t="s">
        <x:v>613</x:v>
      </x:c>
      <x:c r="B30" s="2" t="s">
        <x:v>614</x:v>
      </x:c>
      <x:c r="C30" s="2" t="s">
        <x:v>615</x:v>
      </x:c>
    </x:row>
    <x:row r="31" ht="46.25" hidden="0">
      <x:c r="A31" s="2" t="s">
        <x:v>571</x:v>
      </x:c>
      <x:c r="B31" s="2" t="s">
        <x:v>616</x:v>
      </x:c>
      <x:c r="C31" s="2" t="s">
        <x:v>617</x:v>
      </x:c>
    </x:row>
    <x:row r="32" ht="15" hidden="0">
      <x:c r="A32" s="2" t="s">
        <x:v>618</x:v>
      </x:c>
      <x:c r="B32" s="2" t="s">
        <x:v>619</x:v>
      </x:c>
      <x:c r="C32" s="2" t="s">
        <x:v>620</x:v>
      </x:c>
    </x:row>
    <x:row r="33" ht="23.850000381469727" hidden="0">
      <x:c r="A33" s="2" t="s">
        <x:v>621</x:v>
      </x:c>
      <x:c r="B33" s="2" t="s">
        <x:v>622</x:v>
      </x:c>
      <x:c r="C33" s="2" t="s">
        <x:v>623</x:v>
      </x:c>
    </x:row>
    <x:row r="34" ht="15" hidden="0">
      <x:c r="A34" s="2" t="s">
        <x:v>624</x:v>
      </x:c>
      <x:c r="B34" s="2" t="s">
        <x:v>625</x:v>
      </x:c>
      <x:c r="C34" s="2" t="s">
        <x:v>626</x:v>
      </x:c>
    </x:row>
    <x:row r="35" ht="23.850000381469727" hidden="0">
      <x:c r="A35" s="2" t="s">
        <x:v>627</x:v>
      </x:c>
      <x:c r="B35" s="2" t="s">
        <x:v>628</x:v>
      </x:c>
      <x:c r="C35" s="2" t="s">
        <x:v>629</x:v>
      </x:c>
    </x:row>
    <x:row r="36" ht="15" hidden="0">
      <x:c r="A36" s="2" t="s">
        <x:v>630</x:v>
      </x:c>
      <x:c r="B36" s="2" t="s">
        <x:v>631</x:v>
      </x:c>
      <x:c r="C36" s="2" t="s">
        <x:v>632</x:v>
      </x:c>
    </x:row>
    <x:row r="37" ht="23.850000381469727" hidden="0">
      <x:c r="A37" s="2" t="s">
        <x:v>249</x:v>
      </x:c>
      <x:c r="B37" s="2" t="s">
        <x:v>633</x:v>
      </x:c>
      <x:c r="C37" s="2" t="s">
        <x:v>634</x:v>
      </x:c>
    </x:row>
    <x:row r="38" ht="15" hidden="0">
      <x:c r="A38" s="2" t="s">
        <x:v>635</x:v>
      </x:c>
      <x:c r="B38" s="2" t="s">
        <x:v>636</x:v>
      </x:c>
      <x:c r="C38" s="2" t="s">
        <x:v>637</x:v>
      </x:c>
    </x:row>
    <x:row r="39" ht="23.850000381469727" hidden="0">
      <x:c r="A39" s="2" t="s">
        <x:v>638</x:v>
      </x:c>
      <x:c r="B39" s="2" t="s">
        <x:v>639</x:v>
      </x:c>
      <x:c r="C39" s="2" t="s">
        <x:v>640</x:v>
      </x:c>
    </x:row>
    <x:row r="40" ht="15" hidden="0">
      <x:c r="A40" s="2" t="s">
        <x:v>397</x:v>
      </x:c>
      <x:c r="B40" s="2" t="s">
        <x:v>641</x:v>
      </x:c>
      <x:c r="C40" s="2" t="s">
        <x:v>642</x:v>
      </x:c>
    </x:row>
    <x:row r="41" ht="15" hidden="0">
      <x:c r="A41" s="2" t="s">
        <x:v>643</x:v>
      </x:c>
      <x:c r="B41" s="2" t="s">
        <x:v>644</x:v>
      </x:c>
      <x:c r="C41" s="2" t="s">
        <x:v>645</x:v>
      </x:c>
    </x:row>
    <x:row r="42" ht="15" hidden="0">
      <x:c r="A42" s="2" t="s">
        <x:v>511</x:v>
      </x:c>
      <x:c r="B42" s="2" t="s">
        <x:v>646</x:v>
      </x:c>
      <x:c r="C42" s="2" t="s">
        <x:v>647</x:v>
      </x:c>
    </x:row>
    <x:row r="43" ht="15" hidden="0">
      <x:c r="A43" s="2" t="s">
        <x:v>648</x:v>
      </x:c>
      <x:c r="B43" s="2" t="s">
        <x:v>649</x:v>
      </x:c>
      <x:c r="C43" s="2" t="s">
        <x:v>650</x:v>
      </x:c>
    </x:row>
    <x:row r="44" ht="35.04999923706055" hidden="0">
      <x:c r="A44" s="2" t="s">
        <x:v>651</x:v>
      </x:c>
      <x:c r="B44" s="2" t="s">
        <x:v>652</x:v>
      </x:c>
      <x:c r="C44" s="2" t="s">
        <x:v>653</x:v>
      </x:c>
    </x:row>
    <x:row r="45" ht="23.850000381469727" hidden="0">
      <x:c r="A45" s="2" t="s">
        <x:v>654</x:v>
      </x:c>
      <x:c r="B45" s="2" t="s">
        <x:v>655</x:v>
      </x:c>
      <x:c r="C45" s="2" t="s">
        <x:v>656</x:v>
      </x:c>
    </x:row>
  </x:sheetData>
  <x:pageMargins left="0.7" right="0.7" top="0.75" bottom="0.75" header="0.3" footer="0.3"/>
</x:worksheet>
</file>

<file path=xl/worksheets/sheet5.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 width="5" hidden="0" customWidth="1"/>
    <x:col min="2" max="3" width="70" hidden="0" customWidth="1"/>
  </x:cols>
  <x:sheetData>
    <x:row r="1" ht="15" hidden="0">
      <x:c r="A1" s="1" t="s">
        <x:v>657</x:v>
      </x:c>
      <x:c r="B1" s="1" t="s">
        <x:v>502</x:v>
      </x:c>
      <x:c r="C1" s="1" t="s">
        <x:v>658</x:v>
      </x:c>
    </x:row>
    <x:row r="2" ht="35.04999923706055" hidden="0">
      <x:c r="A2" s="2" t="n">
        <x:v>1</x:v>
      </x:c>
      <x:c r="B2" s="2" t="s">
        <x:v>659</x:v>
      </x:c>
      <x:c r="C2" s="2" t="s">
        <x:v>660</x:v>
      </x:c>
    </x:row>
    <x:row r="3" ht="23.850000381469727" hidden="0">
      <x:c r="A3" s="2" t="n">
        <x:v>2</x:v>
      </x:c>
      <x:c r="B3" s="2" t="s">
        <x:v>661</x:v>
      </x:c>
      <x:c r="C3" s="2" t="s">
        <x:v>662</x:v>
      </x:c>
    </x:row>
    <x:row r="4" ht="35.04999923706055" hidden="0">
      <x:c r="A4" s="2" t="n">
        <x:v>3</x:v>
      </x:c>
      <x:c r="B4" s="2" t="s">
        <x:v>663</x:v>
      </x:c>
      <x:c r="C4" s="2" t="s">
        <x:v>664</x:v>
      </x:c>
    </x:row>
    <x:row r="5" ht="23.850000381469727" hidden="0">
      <x:c r="A5" s="2" t="n">
        <x:v>4</x:v>
      </x:c>
      <x:c r="B5" s="2" t="s">
        <x:v>665</x:v>
      </x:c>
      <x:c r="C5" s="2" t="s">
        <x:v>666</x:v>
      </x:c>
    </x:row>
    <x:row r="6" ht="35.04999923706055" hidden="0">
      <x:c r="A6" s="2" t="n">
        <x:v>5</x:v>
      </x:c>
      <x:c r="B6" s="2" t="s">
        <x:v>667</x:v>
      </x:c>
      <x:c r="C6" s="2" t="s">
        <x:v>668</x:v>
      </x:c>
    </x:row>
    <x:row r="7" ht="57.45000076293945" hidden="0">
      <x:c r="A7" s="2" t="n">
        <x:v>6</x:v>
      </x:c>
      <x:c r="B7" s="2" t="s">
        <x:v>669</x:v>
      </x:c>
      <x:c r="C7" s="2" t="s">
        <x:v>670</x:v>
      </x:c>
    </x:row>
    <x:row r="8" ht="35.04999923706055" hidden="0">
      <x:c r="A8" s="2" t="n">
        <x:v>7</x:v>
      </x:c>
      <x:c r="B8" s="2" t="s">
        <x:v>671</x:v>
      </x:c>
      <x:c r="C8" s="2" t="s">
        <x:v>672</x:v>
      </x:c>
    </x:row>
    <x:row r="9" ht="23.850000381469727" hidden="0">
      <x:c r="A9" s="2" t="n">
        <x:v>8</x:v>
      </x:c>
      <x:c r="B9" s="2" t="s">
        <x:v>673</x:v>
      </x:c>
      <x:c r="C9" s="2" t="s">
        <x:v>674</x:v>
      </x:c>
    </x:row>
    <x:row r="10" ht="23.850000381469727" hidden="0">
      <x:c r="A10" s="2" t="n">
        <x:v>9</x:v>
      </x:c>
      <x:c r="B10" s="2" t="s">
        <x:v>675</x:v>
      </x:c>
      <x:c r="C10" s="2" t="s">
        <x:v>676</x:v>
      </x:c>
    </x:row>
    <x:row r="11" ht="15" hidden="0">
      <x:c r="A11" s="2" t="n">
        <x:v>10</x:v>
      </x:c>
      <x:c r="B11" s="2" t="s">
        <x:v>677</x:v>
      </x:c>
      <x:c r="C11" s="2" t="s">
        <x:v>678</x:v>
      </x:c>
    </x:row>
    <x:row r="12" ht="23.850000381469727" hidden="0">
      <x:c r="A12" s="2" t="n">
        <x:v>11</x:v>
      </x:c>
      <x:c r="B12" s="2" t="s">
        <x:v>679</x:v>
      </x:c>
      <x:c r="C12" s="2" t="s">
        <x:v>680</x:v>
      </x:c>
    </x:row>
    <x:row r="13" ht="35.04999923706055" hidden="0">
      <x:c r="A13" s="2" t="n">
        <x:v>12</x:v>
      </x:c>
      <x:c r="B13" s="2" t="s">
        <x:v>681</x:v>
      </x:c>
      <x:c r="C13" s="2" t="s">
        <x:v>682</x:v>
      </x:c>
    </x:row>
  </x:sheetData>
  <x:pageMargins left="0.7" right="0.7" top="0.75" bottom="0.75" header="0.3" footer="0.3"/>
</x:worksheet>
</file>

<file path=xl/worksheets/sheet6.xml><?xml version="1.0" encoding="utf-8"?>
<x:worksheet xmlns:x="http://schemas.openxmlformats.org/spreadsheetml/2006/main">
  <x:sheetViews>
    <x:sheetView showGridLines="1" workbookViewId="0">
      <x:pane ySplit="1" topLeftCell="A2" activePane="bottomLeft" state="frozen"/>
    </x:sheetView>
  </x:sheetViews>
  <x:sheetFormatPr defaultColWidth="8.6796875" defaultRowHeight="15"/>
  <x:cols>
    <x:col min="1" max="1" width="12" hidden="0" customWidth="1"/>
    <x:col min="2" max="2" width="10" hidden="0" customWidth="1"/>
    <x:col min="3" max="3" width="40" hidden="0" customWidth="1"/>
  </x:cols>
  <x:sheetData>
    <x:row r="1" ht="15" hidden="0">
      <x:c r="A1" s="1" t="s">
        <x:v>683</x:v>
      </x:c>
      <x:c r="B1" s="1" t="s">
        <x:v>684</x:v>
      </x:c>
      <x:c r="C1" s="1" t="s">
        <x:v>16</x:v>
      </x:c>
    </x:row>
    <x:row r="2" ht="15" hidden="0">
      <x:c r="A2" s="2" t="s">
        <x:v>685</x:v>
      </x:c>
      <x:c r="B2" s="2" t="s">
        <x:v>131</x:v>
      </x:c>
      <x:c r="C2" s="2" t="s">
        <x:v>135</x:v>
      </x:c>
    </x:row>
    <x:row r="3" ht="15" hidden="0">
      <x:c r="A3" s="2" t="s">
        <x:v>442</x:v>
      </x:c>
      <x:c r="B3" s="2" t="s">
        <x:v>442</x:v>
      </x:c>
      <x:c r="C3" s="2" t="s">
        <x:v>135</x:v>
      </x:c>
    </x:row>
    <x:row r="4" ht="15" hidden="0">
      <x:c r="A4" s="2" t="s">
        <x:v>131</x:v>
      </x:c>
      <x:c r="B4" s="2" t="s">
        <x:v>686</x:v>
      </x:c>
      <x:c r="C4" s="2" t="s">
        <x:v>216</x:v>
      </x:c>
    </x:row>
    <x:row r="5" ht="15" hidden="0">
      <x:c r="A5" s="2" t="s">
        <x:v>687</x:v>
      </x:c>
      <x:c r="B5" s="2" t="s">
        <x:v>688</x:v>
      </x:c>
      <x:c r="C5" s="2" t="s">
        <x:v>216</x:v>
      </x:c>
    </x:row>
    <x:row r="6" ht="15" hidden="0">
      <x:c r="A6" s="2" t="s">
        <x:v>689</x:v>
      </x:c>
      <x:c r="B6" s="2" t="s">
        <x:v>210</x:v>
      </x:c>
      <x:c r="C6" s="2" t="s">
        <x:v>216</x:v>
      </x:c>
    </x:row>
    <x:row r="7" ht="15" hidden="0">
      <x:c r="A7" s="2" t="s">
        <x:v>690</x:v>
      </x:c>
      <x:c r="B7" s="2" t="s">
        <x:v>691</x:v>
      </x:c>
      <x:c r="C7" s="2" t="s">
        <x:v>216</x:v>
      </x:c>
    </x:row>
    <x:row r="8" ht="15" hidden="0">
      <x:c r="A8" s="2" t="s">
        <x:v>692</x:v>
      </x:c>
      <x:c r="B8" s="2" t="s">
        <x:v>693</x:v>
      </x:c>
      <x:c r="C8" s="2" t="s">
        <x:v>216</x:v>
      </x:c>
    </x:row>
    <x:row r="9" ht="15" hidden="0">
      <x:c r="A9" s="2" t="s">
        <x:v>694</x:v>
      </x:c>
      <x:c r="B9" s="2" t="s">
        <x:v>436</x:v>
      </x:c>
      <x:c r="C9" s="2" t="s">
        <x:v>216</x:v>
      </x:c>
    </x:row>
    <x:row r="10" ht="15" hidden="0">
      <x:c r="A10" s="2" t="s">
        <x:v>230</x:v>
      </x:c>
      <x:c r="B10" s="2" t="s">
        <x:v>695</x:v>
      </x:c>
      <x:c r="C10" s="2" t="s">
        <x:v>229</x:v>
      </x:c>
    </x:row>
    <x:row r="11" ht="15" hidden="0">
      <x:c r="A11" s="2" t="s">
        <x:v>235</x:v>
      </x:c>
      <x:c r="B11" s="2" t="s">
        <x:v>230</x:v>
      </x:c>
      <x:c r="C11" s="2" t="s">
        <x:v>229</x:v>
      </x:c>
    </x:row>
    <x:row r="12" ht="15" hidden="0">
      <x:c r="A12" s="2" t="s">
        <x:v>696</x:v>
      </x:c>
      <x:c r="B12" s="2" t="s">
        <x:v>696</x:v>
      </x:c>
      <x:c r="C12" s="2" t="s">
        <x:v>229</x:v>
      </x:c>
    </x:row>
    <x:row r="13" ht="15" hidden="0">
      <x:c r="A13" s="2" t="s">
        <x:v>241</x:v>
      </x:c>
      <x:c r="B13" s="2" t="s">
        <x:v>235</x:v>
      </x:c>
      <x:c r="C13" s="2" t="s">
        <x:v>229</x:v>
      </x:c>
    </x:row>
    <x:row r="14" ht="15" hidden="0">
      <x:c r="A14" s="2" t="s">
        <x:v>243</x:v>
      </x:c>
      <x:c r="B14" s="2" t="s">
        <x:v>241</x:v>
      </x:c>
      <x:c r="C14" s="2" t="s">
        <x:v>229</x:v>
      </x:c>
    </x:row>
    <x:row r="15" ht="15" hidden="0">
      <x:c r="A15" s="2" t="s">
        <x:v>695</x:v>
      </x:c>
      <x:c r="B15" s="2" t="s">
        <x:v>243</x:v>
      </x:c>
      <x:c r="C15" s="2" t="s">
        <x:v>229</x:v>
      </x:c>
    </x:row>
    <x:row r="16" ht="15" hidden="0">
      <x:c r="A16" s="2" t="s">
        <x:v>245</x:v>
      </x:c>
      <x:c r="B16" s="2" t="s">
        <x:v>245</x:v>
      </x:c>
      <x:c r="C16" s="2" t="s">
        <x:v>229</x:v>
      </x:c>
    </x:row>
    <x:row r="17" ht="15" hidden="0">
      <x:c r="A17" s="2" t="s">
        <x:v>697</x:v>
      </x:c>
      <x:c r="B17" s="2" t="s">
        <x:v>697</x:v>
      </x:c>
      <x:c r="C17" s="2" t="s">
        <x:v>120</x:v>
      </x:c>
    </x:row>
    <x:row r="18" ht="15" hidden="0">
      <x:c r="A18" s="2" t="s">
        <x:v>698</x:v>
      </x:c>
      <x:c r="B18" s="2" t="s">
        <x:v>699</x:v>
      </x:c>
      <x:c r="C18" s="2" t="s">
        <x:v>120</x:v>
      </x:c>
    </x:row>
    <x:row r="19" ht="15" hidden="0">
      <x:c r="A19" s="2" t="s">
        <x:v>699</x:v>
      </x:c>
      <x:c r="B19" s="2" t="s">
        <x:v>700</x:v>
      </x:c>
      <x:c r="C19" s="2" t="s">
        <x:v>120</x:v>
      </x:c>
    </x:row>
    <x:row r="20" ht="15" hidden="0">
      <x:c r="A20" s="2" t="s">
        <x:v>701</x:v>
      </x:c>
      <x:c r="B20" s="2" t="s">
        <x:v>698</x:v>
      </x:c>
      <x:c r="C20" s="2" t="s">
        <x:v>120</x:v>
      </x:c>
    </x:row>
    <x:row r="21" ht="15" hidden="0">
      <x:c r="A21" s="2" t="s">
        <x:v>700</x:v>
      </x:c>
      <x:c r="B21" s="2" t="s">
        <x:v>701</x:v>
      </x:c>
      <x:c r="C21" s="2" t="s">
        <x:v>120</x:v>
      </x:c>
    </x:row>
    <x:row r="22" ht="15" hidden="0">
      <x:c r="A22" s="2" t="s">
        <x:v>702</x:v>
      </x:c>
      <x:c r="B22" s="2" t="s">
        <x:v>702</x:v>
      </x:c>
      <x:c r="C22" s="2" t="s">
        <x:v>120</x:v>
      </x:c>
    </x:row>
    <x:row r="23" ht="15" hidden="0">
      <x:c r="A23" s="2" t="s">
        <x:v>703</x:v>
      </x:c>
      <x:c r="B23" s="2" t="s">
        <x:v>703</x:v>
      </x:c>
      <x:c r="C23" s="2" t="s">
        <x:v>120</x:v>
      </x:c>
    </x:row>
    <x:row r="24" ht="15" hidden="0">
      <x:c r="A24" s="2" t="s">
        <x:v>704</x:v>
      </x:c>
      <x:c r="B24" s="2" t="s">
        <x:v>705</x:v>
      </x:c>
      <x:c r="C24" s="2" t="s">
        <x:v>120</x:v>
      </x:c>
    </x:row>
    <x:row r="25" ht="15" hidden="0">
      <x:c r="A25" s="2" t="s">
        <x:v>705</x:v>
      </x:c>
      <x:c r="B25" s="2" t="s">
        <x:v>654</x:v>
      </x:c>
      <x:c r="C25" s="2" t="s">
        <x:v>120</x:v>
      </x:c>
    </x:row>
    <x:row r="26" ht="15" hidden="0">
      <x:c r="A26" s="2" t="s">
        <x:v>654</x:v>
      </x:c>
      <x:c r="B26" s="2" t="s">
        <x:v>704</x:v>
      </x:c>
      <x:c r="C26" s="2" t="s">
        <x:v>120</x:v>
      </x:c>
    </x:row>
    <x:row r="27" ht="15" hidden="0">
      <x:c r="A27" s="2" t="s">
        <x:v>706</x:v>
      </x:c>
      <x:c r="B27" s="2" t="s">
        <x:v>706</x:v>
      </x:c>
      <x:c r="C27" s="2" t="s">
        <x:v>120</x:v>
      </x:c>
    </x:row>
    <x:row r="28" ht="15" hidden="0">
      <x:c r="A28" s="2" t="s">
        <x:v>707</x:v>
      </x:c>
      <x:c r="B28" s="2" t="s">
        <x:v>707</x:v>
      </x:c>
      <x:c r="C28" s="2" t="s">
        <x:v>120</x:v>
      </x:c>
    </x:row>
    <x:row r="29" ht="15" hidden="0">
      <x:c r="A29" s="2" t="s">
        <x:v>248</x:v>
      </x:c>
      <x:c r="B29" s="2" t="s">
        <x:v>247</x:v>
      </x:c>
      <x:c r="C29" s="2" t="s">
        <x:v>120</x:v>
      </x:c>
    </x:row>
    <x:row r="30" ht="15" hidden="0">
      <x:c r="A30" s="2" t="s">
        <x:v>708</x:v>
      </x:c>
      <x:c r="B30" s="2" t="s">
        <x:v>248</x:v>
      </x:c>
      <x:c r="C30" s="2" t="s">
        <x:v>120</x:v>
      </x:c>
    </x:row>
    <x:row r="31" ht="15" hidden="0">
      <x:c r="A31" s="2" t="s">
        <x:v>709</x:v>
      </x:c>
      <x:c r="B31" s="2" t="s">
        <x:v>710</x:v>
      </x:c>
      <x:c r="C31" s="2" t="s">
        <x:v>120</x:v>
      </x:c>
    </x:row>
    <x:row r="32" ht="15" hidden="0">
      <x:c r="A32" s="2" t="s">
        <x:v>711</x:v>
      </x:c>
      <x:c r="B32" s="2" t="s">
        <x:v>709</x:v>
      </x:c>
      <x:c r="C32" s="2" t="s">
        <x:v>120</x:v>
      </x:c>
    </x:row>
    <x:row r="33" ht="15" hidden="0">
      <x:c r="A33" s="2" t="s">
        <x:v>710</x:v>
      </x:c>
      <x:c r="B33" s="2" t="s">
        <x:v>712</x:v>
      </x:c>
      <x:c r="C33" s="2" t="s">
        <x:v>120</x:v>
      </x:c>
    </x:row>
    <x:row r="34" ht="15" hidden="0">
      <x:c r="A34" s="2" t="s">
        <x:v>712</x:v>
      </x:c>
      <x:c r="B34" s="2" t="s">
        <x:v>711</x:v>
      </x:c>
      <x:c r="C34" s="2" t="s">
        <x:v>120</x:v>
      </x:c>
    </x:row>
    <x:row r="35" ht="15" hidden="0">
      <x:c r="A35" s="2" t="s">
        <x:v>713</x:v>
      </x:c>
      <x:c r="B35" s="2" t="s">
        <x:v>714</x:v>
      </x:c>
      <x:c r="C35" s="2" t="s">
        <x:v>120</x:v>
      </x:c>
    </x:row>
    <x:row r="36" ht="15" hidden="0">
      <x:c r="A36" s="2" t="s">
        <x:v>715</x:v>
      </x:c>
      <x:c r="B36" s="2" t="s">
        <x:v>716</x:v>
      </x:c>
      <x:c r="C36" s="2" t="s">
        <x:v>120</x:v>
      </x:c>
    </x:row>
    <x:row r="37" ht="15" hidden="0">
      <x:c r="A37" s="2" t="s">
        <x:v>717</x:v>
      </x:c>
      <x:c r="B37" s="2" t="s">
        <x:v>717</x:v>
      </x:c>
      <x:c r="C37" s="2" t="s">
        <x:v>120</x:v>
      </x:c>
    </x:row>
    <x:row r="38" ht="15" hidden="0">
      <x:c r="A38" s="2" t="s">
        <x:v>718</x:v>
      </x:c>
      <x:c r="B38" s="2" t="s">
        <x:v>713</x:v>
      </x:c>
      <x:c r="C38" s="2" t="s">
        <x:v>120</x:v>
      </x:c>
    </x:row>
    <x:row r="39" ht="15" hidden="0">
      <x:c r="A39" s="2" t="s">
        <x:v>714</x:v>
      </x:c>
      <x:c r="B39" s="2" t="s">
        <x:v>719</x:v>
      </x:c>
      <x:c r="C39" s="2" t="s">
        <x:v>120</x:v>
      </x:c>
    </x:row>
    <x:row r="40" ht="15" hidden="0">
      <x:c r="A40" s="2" t="s">
        <x:v>716</x:v>
      </x:c>
      <x:c r="B40" s="2" t="s">
        <x:v>720</x:v>
      </x:c>
      <x:c r="C40" s="2" t="s">
        <x:v>120</x:v>
      </x:c>
    </x:row>
    <x:row r="41" ht="15" hidden="0">
      <x:c r="A41" s="2" t="s">
        <x:v>721</x:v>
      </x:c>
      <x:c r="B41" s="2" t="s">
        <x:v>722</x:v>
      </x:c>
      <x:c r="C41" s="2" t="s">
        <x:v>120</x:v>
      </x:c>
    </x:row>
    <x:row r="42" ht="15" hidden="0">
      <x:c r="A42" s="2" t="s">
        <x:v>723</x:v>
      </x:c>
      <x:c r="B42" s="2" t="s">
        <x:v>724</x:v>
      </x:c>
      <x:c r="C42" s="2" t="s">
        <x:v>120</x:v>
      </x:c>
    </x:row>
    <x:row r="43" ht="15" hidden="0">
      <x:c r="A43" s="2" t="s">
        <x:v>685</x:v>
      </x:c>
      <x:c r="B43" s="2" t="s">
        <x:v>721</x:v>
      </x:c>
      <x:c r="C43" s="2" t="s">
        <x:v>120</x:v>
      </x:c>
    </x:row>
    <x:row r="44" ht="15" hidden="0">
      <x:c r="A44" s="2" t="s">
        <x:v>685</x:v>
      </x:c>
      <x:c r="B44" s="2" t="s">
        <x:v>723</x:v>
      </x:c>
      <x:c r="C44" s="2" t="s">
        <x:v>120</x:v>
      </x:c>
    </x:row>
    <x:row r="45" ht="15" hidden="0">
      <x:c r="A45" s="2" t="s">
        <x:v>685</x:v>
      </x:c>
      <x:c r="B45" s="2" t="s">
        <x:v>725</x:v>
      </x:c>
      <x:c r="C45" s="2" t="s">
        <x:v>120</x:v>
      </x:c>
    </x:row>
    <x:row r="46" ht="15" hidden="0">
      <x:c r="A46" s="2" t="s">
        <x:v>685</x:v>
      </x:c>
      <x:c r="B46" s="2" t="s">
        <x:v>726</x:v>
      </x:c>
      <x:c r="C46" s="2" t="s">
        <x:v>120</x:v>
      </x:c>
    </x:row>
    <x:row r="47" ht="15" hidden="0">
      <x:c r="A47" s="2" t="s">
        <x:v>727</x:v>
      </x:c>
      <x:c r="B47" s="2" t="s">
        <x:v>728</x:v>
      </x:c>
      <x:c r="C47" s="2" t="s">
        <x:v>120</x:v>
      </x:c>
    </x:row>
    <x:row r="48" ht="15" hidden="0">
      <x:c r="A48" s="2" t="s">
        <x:v>722</x:v>
      </x:c>
      <x:c r="B48" s="2" t="s">
        <x:v>718</x:v>
      </x:c>
      <x:c r="C48" s="2" t="s">
        <x:v>120</x:v>
      </x:c>
    </x:row>
    <x:row r="49" ht="15" hidden="0">
      <x:c r="A49" s="2" t="s">
        <x:v>719</x:v>
      </x:c>
      <x:c r="B49" s="2" t="s">
        <x:v>715</x:v>
      </x:c>
      <x:c r="C49" s="2" t="s">
        <x:v>120</x:v>
      </x:c>
    </x:row>
    <x:row r="50" ht="15" hidden="0">
      <x:c r="A50" s="2" t="s">
        <x:v>725</x:v>
      </x:c>
      <x:c r="B50" s="2" t="s">
        <x:v>690</x:v>
      </x:c>
      <x:c r="C50" s="2" t="s">
        <x:v>120</x:v>
      </x:c>
    </x:row>
    <x:row r="51" ht="15" hidden="0">
      <x:c r="A51" s="2" t="s">
        <x:v>720</x:v>
      </x:c>
      <x:c r="B51" s="2" t="s">
        <x:v>729</x:v>
      </x:c>
      <x:c r="C51" s="2" t="s">
        <x:v>120</x:v>
      </x:c>
    </x:row>
    <x:row r="52" ht="15" hidden="0">
      <x:c r="A52" s="2" t="s">
        <x:v>726</x:v>
      </x:c>
      <x:c r="B52" s="2" t="s">
        <x:v>730</x:v>
      </x:c>
      <x:c r="C52" s="2" t="s">
        <x:v>120</x:v>
      </x:c>
    </x:row>
    <x:row r="53" ht="15" hidden="0">
      <x:c r="A53" s="2" t="s">
        <x:v>724</x:v>
      </x:c>
      <x:c r="B53" s="2" t="s">
        <x:v>731</x:v>
      </x:c>
      <x:c r="C53" s="2" t="s">
        <x:v>120</x:v>
      </x:c>
    </x:row>
    <x:row r="54" ht="15" hidden="0">
      <x:c r="A54" s="2" t="s">
        <x:v>728</x:v>
      </x:c>
      <x:c r="B54" s="2" t="s">
        <x:v>732</x:v>
      </x:c>
      <x:c r="C54" s="2" t="s">
        <x:v>120</x:v>
      </x:c>
    </x:row>
    <x:row r="55" ht="15" hidden="0">
      <x:c r="A55" s="2" t="s">
        <x:v>693</x:v>
      </x:c>
      <x:c r="B55" s="2" t="s">
        <x:v>733</x:v>
      </x:c>
      <x:c r="C55" s="2" t="s">
        <x:v>120</x:v>
      </x:c>
    </x:row>
    <x:row r="56" ht="15" hidden="0">
      <x:c r="A56" s="2" t="s">
        <x:v>733</x:v>
      </x:c>
      <x:c r="B56" s="2" t="s">
        <x:v>734</x:v>
      </x:c>
      <x:c r="C56" s="2" t="s">
        <x:v>120</x:v>
      </x:c>
    </x:row>
    <x:row r="57" ht="15" hidden="0">
      <x:c r="A57" s="2" t="s">
        <x:v>734</x:v>
      </x:c>
      <x:c r="B57" s="2" t="s">
        <x:v>735</x:v>
      </x:c>
      <x:c r="C57" s="2" t="s">
        <x:v>120</x:v>
      </x:c>
    </x:row>
    <x:row r="58" ht="15" hidden="0">
      <x:c r="A58" s="2" t="s">
        <x:v>735</x:v>
      </x:c>
      <x:c r="B58" s="2" t="s">
        <x:v>736</x:v>
      </x:c>
      <x:c r="C58" s="2" t="s">
        <x:v>120</x:v>
      </x:c>
    </x:row>
    <x:row r="59" ht="15" hidden="0">
      <x:c r="A59" s="2" t="s">
        <x:v>736</x:v>
      </x:c>
      <x:c r="B59" s="2" t="s">
        <x:v>692</x:v>
      </x:c>
      <x:c r="C59" s="2" t="s">
        <x:v>120</x:v>
      </x:c>
    </x:row>
    <x:row r="60" ht="15" hidden="0">
      <x:c r="A60" s="2" t="s">
        <x:v>18</x:v>
      </x:c>
      <x:c r="B60" s="2" t="s">
        <x:v>18</x:v>
      </x:c>
      <x:c r="C60" s="2" t="s">
        <x:v>26</x:v>
      </x:c>
    </x:row>
    <x:row r="61" ht="15" hidden="0">
      <x:c r="A61" s="2" t="s">
        <x:v>686</x:v>
      </x:c>
      <x:c r="B61" s="2" t="s">
        <x:v>737</x:v>
      </x:c>
      <x:c r="C61" s="2" t="s">
        <x:v>26</x:v>
      </x:c>
    </x:row>
    <x:row r="62" ht="15" hidden="0">
      <x:c r="A62" s="2" t="s">
        <x:v>688</x:v>
      </x:c>
      <x:c r="B62" s="2" t="s">
        <x:v>738</x:v>
      </x:c>
      <x:c r="C62" s="2" t="s">
        <x:v>26</x:v>
      </x:c>
    </x:row>
    <x:row r="63" ht="15" hidden="0">
      <x:c r="A63" s="2" t="s">
        <x:v>143</x:v>
      </x:c>
      <x:c r="B63" s="2" t="s">
        <x:v>143</x:v>
      </x:c>
      <x:c r="C63" s="2" t="s">
        <x:v>26</x:v>
      </x:c>
    </x:row>
    <x:row r="64" ht="15" hidden="0">
      <x:c r="A64" s="2" t="s">
        <x:v>150</x:v>
      </x:c>
      <x:c r="B64" s="2" t="s">
        <x:v>150</x:v>
      </x:c>
      <x:c r="C64" s="2" t="s">
        <x:v>26</x:v>
      </x:c>
    </x:row>
    <x:row r="65" ht="15" hidden="0">
      <x:c r="A65" s="2" t="s">
        <x:v>156</x:v>
      </x:c>
      <x:c r="B65" s="2" t="s">
        <x:v>156</x:v>
      </x:c>
      <x:c r="C65" s="2" t="s">
        <x:v>26</x:v>
      </x:c>
    </x:row>
    <x:row r="66" ht="15" hidden="0">
      <x:c r="A66" s="2" t="s">
        <x:v>158</x:v>
      </x:c>
      <x:c r="B66" s="2" t="s">
        <x:v>158</x:v>
      </x:c>
      <x:c r="C66" s="2" t="s">
        <x:v>26</x:v>
      </x:c>
    </x:row>
    <x:row r="67" ht="15" hidden="0">
      <x:c r="A67" s="2" t="s">
        <x:v>160</x:v>
      </x:c>
      <x:c r="B67" s="2" t="s">
        <x:v>160</x:v>
      </x:c>
      <x:c r="C67" s="2" t="s">
        <x:v>26</x:v>
      </x:c>
    </x:row>
    <x:row r="68" ht="15" hidden="0">
      <x:c r="A68" s="2" t="s">
        <x:v>739</x:v>
      </x:c>
      <x:c r="B68" s="2" t="s">
        <x:v>739</x:v>
      </x:c>
      <x:c r="C68" s="2" t="s">
        <x:v>26</x:v>
      </x:c>
    </x:row>
    <x:row r="69" ht="15" hidden="0">
      <x:c r="A69" s="2" t="s">
        <x:v>349</x:v>
      </x:c>
      <x:c r="B69" s="2" t="s">
        <x:v>327</x:v>
      </x:c>
      <x:c r="C69" s="2" t="s">
        <x:v>26</x:v>
      </x:c>
    </x:row>
    <x:row r="70" ht="15" hidden="0">
      <x:c r="A70" s="2" t="s">
        <x:v>327</x:v>
      </x:c>
      <x:c r="B70" s="2" t="s">
        <x:v>331</x:v>
      </x:c>
      <x:c r="C70" s="2" t="s">
        <x:v>26</x:v>
      </x:c>
    </x:row>
    <x:row r="71" ht="15" hidden="0">
      <x:c r="A71" s="2" t="s">
        <x:v>331</x:v>
      </x:c>
      <x:c r="B71" s="2" t="s">
        <x:v>740</x:v>
      </x:c>
      <x:c r="C71" s="2" t="s">
        <x:v>26</x:v>
      </x:c>
    </x:row>
    <x:row r="72" ht="15" hidden="0">
      <x:c r="A72" s="2" t="s">
        <x:v>740</x:v>
      </x:c>
      <x:c r="B72" s="2" t="s">
        <x:v>741</x:v>
      </x:c>
      <x:c r="C72" s="2" t="s">
        <x:v>26</x:v>
      </x:c>
    </x:row>
    <x:row r="73" ht="15" hidden="0">
      <x:c r="A73" s="2" t="s">
        <x:v>741</x:v>
      </x:c>
      <x:c r="B73" s="2" t="s">
        <x:v>742</x:v>
      </x:c>
      <x:c r="C73" s="2" t="s">
        <x:v>26</x:v>
      </x:c>
    </x:row>
    <x:row r="74" ht="15" hidden="0">
      <x:c r="A74" s="2" t="s">
        <x:v>742</x:v>
      </x:c>
      <x:c r="B74" s="2" t="s">
        <x:v>743</x:v>
      </x:c>
      <x:c r="C74" s="2" t="s">
        <x:v>26</x:v>
      </x:c>
    </x:row>
    <x:row r="75" ht="15" hidden="0">
      <x:c r="A75" s="2" t="s">
        <x:v>743</x:v>
      </x:c>
      <x:c r="B75" s="2" t="s">
        <x:v>345</x:v>
      </x:c>
      <x:c r="C75" s="2" t="s">
        <x:v>26</x:v>
      </x:c>
    </x:row>
    <x:row r="76" ht="15" hidden="0">
      <x:c r="A76" s="2" t="s">
        <x:v>345</x:v>
      </x:c>
      <x:c r="B76" s="2" t="s">
        <x:v>349</x:v>
      </x:c>
      <x:c r="C76" s="2" t="s">
        <x:v>26</x:v>
      </x:c>
    </x:row>
    <x:row r="77" ht="15" hidden="0">
      <x:c r="A77" s="2" t="s">
        <x:v>744</x:v>
      </x:c>
      <x:c r="B77" s="2" t="s">
        <x:v>28</x:v>
      </x:c>
      <x:c r="C77" s="2" t="s">
        <x:v>38</x:v>
      </x:c>
    </x:row>
    <x:row r="78" ht="15" hidden="0">
      <x:c r="A78" s="2" t="s">
        <x:v>745</x:v>
      </x:c>
      <x:c r="B78" s="2" t="s">
        <x:v>744</x:v>
      </x:c>
      <x:c r="C78" s="2" t="s">
        <x:v>38</x:v>
      </x:c>
    </x:row>
    <x:row r="79" ht="15" hidden="0">
      <x:c r="A79" s="2" t="s">
        <x:v>746</x:v>
      </x:c>
      <x:c r="B79" s="2" t="s">
        <x:v>745</x:v>
      </x:c>
      <x:c r="C79" s="2" t="s">
        <x:v>38</x:v>
      </x:c>
    </x:row>
    <x:row r="80" ht="15" hidden="0">
      <x:c r="A80" s="2" t="s">
        <x:v>747</x:v>
      </x:c>
      <x:c r="B80" s="2" t="s">
        <x:v>746</x:v>
      </x:c>
      <x:c r="C80" s="2" t="s">
        <x:v>38</x:v>
      </x:c>
    </x:row>
    <x:row r="81" ht="15" hidden="0">
      <x:c r="A81" s="2" t="s">
        <x:v>748</x:v>
      </x:c>
      <x:c r="B81" s="2" t="s">
        <x:v>747</x:v>
      </x:c>
      <x:c r="C81" s="2" t="s">
        <x:v>38</x:v>
      </x:c>
    </x:row>
    <x:row r="82" ht="15" hidden="0">
      <x:c r="A82" s="2" t="s">
        <x:v>749</x:v>
      </x:c>
      <x:c r="B82" s="2" t="s">
        <x:v>750</x:v>
      </x:c>
      <x:c r="C82" s="2" t="s">
        <x:v>38</x:v>
      </x:c>
    </x:row>
    <x:row r="83" ht="15" hidden="0">
      <x:c r="A83" s="2" t="s">
        <x:v>750</x:v>
      </x:c>
      <x:c r="B83" s="2" t="s">
        <x:v>751</x:v>
      </x:c>
      <x:c r="C83" s="2" t="s">
        <x:v>38</x:v>
      </x:c>
    </x:row>
    <x:row r="84" ht="15" hidden="0">
      <x:c r="A84" s="2" t="s">
        <x:v>751</x:v>
      </x:c>
      <x:c r="B84" s="2" t="s">
        <x:v>752</x:v>
      </x:c>
      <x:c r="C84" s="2" t="s">
        <x:v>38</x:v>
      </x:c>
    </x:row>
    <x:row r="85" ht="15" hidden="0">
      <x:c r="A85" s="2" t="s">
        <x:v>752</x:v>
      </x:c>
      <x:c r="B85" s="2" t="s">
        <x:v>618</x:v>
      </x:c>
      <x:c r="C85" s="2" t="s">
        <x:v>38</x:v>
      </x:c>
    </x:row>
    <x:row r="86" ht="15" hidden="0">
      <x:c r="A86" s="2" t="s">
        <x:v>618</x:v>
      </x:c>
      <x:c r="B86" s="2" t="s">
        <x:v>54</x:v>
      </x:c>
      <x:c r="C86" s="2" t="s">
        <x:v>38</x:v>
      </x:c>
    </x:row>
    <x:row r="87" ht="15" hidden="0">
      <x:c r="A87" s="2" t="s">
        <x:v>54</x:v>
      </x:c>
      <x:c r="B87" s="2" t="s">
        <x:v>753</x:v>
      </x:c>
      <x:c r="C87" s="2" t="s">
        <x:v>38</x:v>
      </x:c>
    </x:row>
    <x:row r="88" ht="15" hidden="0">
      <x:c r="A88" s="2" t="s">
        <x:v>753</x:v>
      </x:c>
      <x:c r="B88" s="2" t="s">
        <x:v>748</x:v>
      </x:c>
      <x:c r="C88" s="2" t="s">
        <x:v>38</x:v>
      </x:c>
    </x:row>
    <x:row r="89" ht="15" hidden="0">
      <x:c r="A89" s="2" t="s">
        <x:v>68</x:v>
      </x:c>
      <x:c r="B89" s="2" t="s">
        <x:v>749</x:v>
      </x:c>
      <x:c r="C89" s="2" t="s">
        <x:v>38</x:v>
      </x:c>
    </x:row>
    <x:row r="90" ht="15" hidden="0">
      <x:c r="A90" s="2" t="s">
        <x:v>28</x:v>
      </x:c>
      <x:c r="B90" s="2" t="s">
        <x:v>68</x:v>
      </x:c>
      <x:c r="C90" s="2" t="s">
        <x:v>38</x:v>
      </x:c>
    </x:row>
    <x:row r="91" ht="15" hidden="0">
      <x:c r="A91" s="2" t="s">
        <x:v>754</x:v>
      </x:c>
      <x:c r="B91" s="2" t="s">
        <x:v>754</x:v>
      </x:c>
      <x:c r="C91" s="2" t="s">
        <x:v>38</x:v>
      </x:c>
    </x:row>
    <x:row r="92" ht="15" hidden="0">
      <x:c r="A92" s="2" t="s">
        <x:v>755</x:v>
      </x:c>
      <x:c r="B92" s="2" t="s">
        <x:v>755</x:v>
      </x:c>
      <x:c r="C92" s="2" t="s">
        <x:v>38</x:v>
      </x:c>
    </x:row>
    <x:row r="93" ht="15" hidden="0">
      <x:c r="A93" s="2" t="s">
        <x:v>756</x:v>
      </x:c>
      <x:c r="B93" s="2" t="s">
        <x:v>756</x:v>
      </x:c>
      <x:c r="C93" s="2" t="s">
        <x:v>38</x:v>
      </x:c>
    </x:row>
    <x:row r="94" ht="15" hidden="0">
      <x:c r="A94" s="2" t="s">
        <x:v>177</x:v>
      </x:c>
      <x:c r="B94" s="2" t="s">
        <x:v>177</x:v>
      </x:c>
      <x:c r="C94" s="2" t="s">
        <x:v>38</x:v>
      </x:c>
    </x:row>
    <x:row r="95" ht="15" hidden="0">
      <x:c r="A95" s="2" t="s">
        <x:v>757</x:v>
      </x:c>
      <x:c r="B95" s="2" t="s">
        <x:v>757</x:v>
      </x:c>
      <x:c r="C95" s="2" t="s">
        <x:v>38</x:v>
      </x:c>
    </x:row>
    <x:row r="96" ht="15" hidden="0">
      <x:c r="A96" s="2" t="s">
        <x:v>758</x:v>
      </x:c>
      <x:c r="B96" s="2" t="s">
        <x:v>758</x:v>
      </x:c>
      <x:c r="C96" s="2" t="s">
        <x:v>38</x:v>
      </x:c>
    </x:row>
    <x:row r="97" ht="15" hidden="0">
      <x:c r="A97" s="2" t="s">
        <x:v>523</x:v>
      </x:c>
      <x:c r="B97" s="2" t="s">
        <x:v>523</x:v>
      </x:c>
      <x:c r="C97" s="2" t="s">
        <x:v>38</x:v>
      </x:c>
    </x:row>
    <x:row r="98" ht="15" hidden="0">
      <x:c r="A98" s="2" t="s">
        <x:v>759</x:v>
      </x:c>
      <x:c r="B98" s="2" t="s">
        <x:v>268</x:v>
      </x:c>
      <x:c r="C98" s="2" t="s">
        <x:v>38</x:v>
      </x:c>
    </x:row>
    <x:row r="99" ht="15" hidden="0">
      <x:c r="A99" s="2" t="s">
        <x:v>268</x:v>
      </x:c>
      <x:c r="B99" s="2" t="s">
        <x:v>760</x:v>
      </x:c>
      <x:c r="C99" s="2" t="s">
        <x:v>38</x:v>
      </x:c>
    </x:row>
    <x:row r="100" ht="15" hidden="0">
      <x:c r="A100" s="2" t="s">
        <x:v>760</x:v>
      </x:c>
      <x:c r="B100" s="2" t="s">
        <x:v>759</x:v>
      </x:c>
      <x:c r="C100" s="2" t="s">
        <x:v>38</x:v>
      </x:c>
    </x:row>
    <x:row r="101" ht="15" hidden="0">
      <x:c r="A101" s="2" t="s">
        <x:v>388</x:v>
      </x:c>
      <x:c r="B101" s="2" t="s">
        <x:v>382</x:v>
      </x:c>
      <x:c r="C101" s="2" t="s">
        <x:v>38</x:v>
      </x:c>
    </x:row>
    <x:row r="102" ht="15" hidden="0">
      <x:c r="A102" s="2" t="s">
        <x:v>382</x:v>
      </x:c>
      <x:c r="B102" s="2" t="s">
        <x:v>388</x:v>
      </x:c>
      <x:c r="C102" s="2" t="s">
        <x:v>38</x:v>
      </x:c>
    </x:row>
    <x:row r="103" ht="15" hidden="0">
      <x:c r="A103" s="2" t="s">
        <x:v>391</x:v>
      </x:c>
      <x:c r="B103" s="2" t="s">
        <x:v>391</x:v>
      </x:c>
      <x:c r="C103" s="2" t="s">
        <x:v>38</x:v>
      </x:c>
    </x:row>
    <x:row r="104" ht="15" hidden="0">
      <x:c r="A104" s="2" t="s">
        <x:v>450</x:v>
      </x:c>
      <x:c r="B104" s="2" t="s">
        <x:v>450</x:v>
      </x:c>
      <x:c r="C104" s="2" t="s">
        <x:v>38</x:v>
      </x:c>
    </x:row>
    <x:row r="105" ht="15" hidden="0">
      <x:c r="A105" s="2" t="s">
        <x:v>457</x:v>
      </x:c>
      <x:c r="B105" s="2" t="s">
        <x:v>457</x:v>
      </x:c>
      <x:c r="C105" s="2" t="s">
        <x:v>38</x:v>
      </x:c>
    </x:row>
    <x:row r="106" ht="15" hidden="0">
      <x:c r="A106" s="2" t="s">
        <x:v>624</x:v>
      </x:c>
      <x:c r="B106" s="2" t="s">
        <x:v>761</x:v>
      </x:c>
      <x:c r="C106" s="2" t="s">
        <x:v>84</x:v>
      </x:c>
    </x:row>
    <x:row r="107" ht="15" hidden="0">
      <x:c r="A107" s="2" t="s">
        <x:v>685</x:v>
      </x:c>
      <x:c r="B107" s="2" t="s">
        <x:v>624</x:v>
      </x:c>
      <x:c r="C107" s="2" t="s">
        <x:v>84</x:v>
      </x:c>
    </x:row>
    <x:row r="108" ht="15" hidden="0">
      <x:c r="A108" s="2" t="s">
        <x:v>96</x:v>
      </x:c>
      <x:c r="B108" s="2" t="s">
        <x:v>627</x:v>
      </x:c>
      <x:c r="C108" s="2" t="s">
        <x:v>84</x:v>
      </x:c>
    </x:row>
    <x:row r="109" ht="15" hidden="0">
      <x:c r="A109" s="2" t="s">
        <x:v>762</x:v>
      </x:c>
      <x:c r="B109" s="2" t="s">
        <x:v>630</x:v>
      </x:c>
      <x:c r="C109" s="2" t="s">
        <x:v>84</x:v>
      </x:c>
    </x:row>
    <x:row r="110" ht="15" hidden="0">
      <x:c r="A110" s="2" t="s">
        <x:v>685</x:v>
      </x:c>
      <x:c r="B110" s="2" t="s">
        <x:v>763</x:v>
      </x:c>
      <x:c r="C110" s="2" t="s">
        <x:v>84</x:v>
      </x:c>
    </x:row>
    <x:row r="111" ht="15" hidden="0">
      <x:c r="A111" s="2" t="s">
        <x:v>685</x:v>
      </x:c>
      <x:c r="B111" s="2" t="s">
        <x:v>764</x:v>
      </x:c>
      <x:c r="C111" s="2" t="s">
        <x:v>84</x:v>
      </x:c>
    </x:row>
    <x:row r="112" ht="15" hidden="0">
      <x:c r="A112" s="2" t="s">
        <x:v>765</x:v>
      </x:c>
      <x:c r="B112" s="2" t="s">
        <x:v>96</x:v>
      </x:c>
      <x:c r="C112" s="2" t="s">
        <x:v>84</x:v>
      </x:c>
    </x:row>
    <x:row r="113" ht="15" hidden="0">
      <x:c r="A113" s="2" t="s">
        <x:v>137</x:v>
      </x:c>
      <x:c r="B113" s="2" t="s">
        <x:v>137</x:v>
      </x:c>
      <x:c r="C113" s="2" t="s">
        <x:v>84</x:v>
      </x:c>
    </x:row>
    <x:row r="114" ht="15" hidden="0">
      <x:c r="A114" s="2" t="s">
        <x:v>204</x:v>
      </x:c>
      <x:c r="B114" s="2" t="s">
        <x:v>195</x:v>
      </x:c>
      <x:c r="C114" s="2" t="s">
        <x:v>84</x:v>
      </x:c>
    </x:row>
    <x:row r="115" ht="15" hidden="0">
      <x:c r="A115" s="2" t="s">
        <x:v>195</x:v>
      </x:c>
      <x:c r="B115" s="2" t="s">
        <x:v>204</x:v>
      </x:c>
      <x:c r="C115" s="2" t="s">
        <x:v>84</x:v>
      </x:c>
    </x:row>
    <x:row r="116" ht="15" hidden="0">
      <x:c r="A116" s="2" t="s">
        <x:v>685</x:v>
      </x:c>
      <x:c r="B116" s="2" t="s">
        <x:v>249</x:v>
      </x:c>
      <x:c r="C116" s="2" t="s">
        <x:v>84</x:v>
      </x:c>
    </x:row>
    <x:row r="117" ht="15" hidden="0">
      <x:c r="A117" s="2" t="s">
        <x:v>766</x:v>
      </x:c>
      <x:c r="B117" s="2" t="s">
        <x:v>766</x:v>
      </x:c>
      <x:c r="C117" s="2" t="s">
        <x:v>84</x:v>
      </x:c>
    </x:row>
    <x:row r="118" ht="15" hidden="0">
      <x:c r="A118" s="2" t="s">
        <x:v>767</x:v>
      </x:c>
      <x:c r="B118" s="2" t="s">
        <x:v>768</x:v>
      </x:c>
      <x:c r="C118" s="2" t="s">
        <x:v>84</x:v>
      </x:c>
    </x:row>
    <x:row r="119" ht="15" hidden="0">
      <x:c r="A119" s="2" t="s">
        <x:v>291</x:v>
      </x:c>
      <x:c r="B119" s="2" t="s">
        <x:v>767</x:v>
      </x:c>
      <x:c r="C119" s="2" t="s">
        <x:v>84</x:v>
      </x:c>
    </x:row>
    <x:row r="120" ht="15" hidden="0">
      <x:c r="A120" s="2" t="s">
        <x:v>768</x:v>
      </x:c>
      <x:c r="B120" s="2" t="s">
        <x:v>291</x:v>
      </x:c>
      <x:c r="C120" s="2" t="s">
        <x:v>84</x:v>
      </x:c>
    </x:row>
    <x:row r="121" ht="15" hidden="0">
      <x:c r="A121" s="2" t="s">
        <x:v>313</x:v>
      </x:c>
      <x:c r="B121" s="2" t="s">
        <x:v>295</x:v>
      </x:c>
      <x:c r="C121" s="2" t="s">
        <x:v>84</x:v>
      </x:c>
    </x:row>
    <x:row r="122" ht="15" hidden="0">
      <x:c r="A122" s="2" t="s">
        <x:v>318</x:v>
      </x:c>
      <x:c r="B122" s="2" t="s">
        <x:v>769</x:v>
      </x:c>
      <x:c r="C122" s="2" t="s">
        <x:v>84</x:v>
      </x:c>
    </x:row>
    <x:row r="123" ht="15" hidden="0">
      <x:c r="A123" s="2" t="s">
        <x:v>770</x:v>
      </x:c>
      <x:c r="B123" s="2" t="s">
        <x:v>303</x:v>
      </x:c>
      <x:c r="C123" s="2" t="s">
        <x:v>84</x:v>
      </x:c>
    </x:row>
    <x:row r="124" ht="15" hidden="0">
      <x:c r="A124" s="2" t="s">
        <x:v>303</x:v>
      </x:c>
      <x:c r="B124" s="2" t="s">
        <x:v>308</x:v>
      </x:c>
      <x:c r="C124" s="2" t="s">
        <x:v>84</x:v>
      </x:c>
    </x:row>
    <x:row r="125" ht="15" hidden="0">
      <x:c r="A125" s="2" t="s">
        <x:v>643</x:v>
      </x:c>
      <x:c r="B125" s="2" t="s">
        <x:v>643</x:v>
      </x:c>
      <x:c r="C125" s="2" t="s">
        <x:v>84</x:v>
      </x:c>
    </x:row>
    <x:row r="126" ht="15" hidden="0">
      <x:c r="A126" s="2" t="s">
        <x:v>685</x:v>
      </x:c>
      <x:c r="B126" s="2" t="s">
        <x:v>313</x:v>
      </x:c>
      <x:c r="C126" s="2" t="s">
        <x:v>84</x:v>
      </x:c>
    </x:row>
    <x:row r="127" ht="15" hidden="0">
      <x:c r="A127" s="2" t="s">
        <x:v>685</x:v>
      </x:c>
      <x:c r="B127" s="2" t="s">
        <x:v>318</x:v>
      </x:c>
      <x:c r="C127" s="2" t="s">
        <x:v>84</x:v>
      </x:c>
    </x:row>
    <x:row r="128" ht="15" hidden="0">
      <x:c r="A128" s="2" t="s">
        <x:v>308</x:v>
      </x:c>
      <x:c r="B128" s="2" t="s">
        <x:v>770</x:v>
      </x:c>
      <x:c r="C128" s="2" t="s">
        <x:v>84</x:v>
      </x:c>
    </x:row>
    <x:row r="129" ht="15" hidden="0">
      <x:c r="A129" s="2" t="s">
        <x:v>390</x:v>
      </x:c>
      <x:c r="B129" s="2" t="s">
        <x:v>390</x:v>
      </x:c>
      <x:c r="C129" s="2" t="s">
        <x:v>84</x:v>
      </x:c>
    </x:row>
    <x:row r="130" ht="15" hidden="0">
      <x:c r="A130" s="2" t="s">
        <x:v>771</x:v>
      </x:c>
      <x:c r="B130" s="2" t="s">
        <x:v>771</x:v>
      </x:c>
      <x:c r="C130" s="2" t="s">
        <x:v>84</x:v>
      </x:c>
    </x:row>
    <x:row r="131" ht="15" hidden="0">
      <x:c r="A131" s="2" t="s">
        <x:v>772</x:v>
      </x:c>
      <x:c r="B131" s="2" t="s">
        <x:v>772</x:v>
      </x:c>
      <x:c r="C131" s="2" t="s">
        <x:v>84</x:v>
      </x:c>
    </x:row>
    <x:row r="132" ht="15" hidden="0">
      <x:c r="A132" s="2" t="s">
        <x:v>773</x:v>
      </x:c>
      <x:c r="B132" s="2" t="s">
        <x:v>773</x:v>
      </x:c>
      <x:c r="C132" s="2" t="s">
        <x:v>84</x:v>
      </x:c>
    </x:row>
    <x:row r="133" ht="15" hidden="0">
      <x:c r="A133" s="2" t="s">
        <x:v>774</x:v>
      </x:c>
      <x:c r="B133" s="2" t="s">
        <x:v>774</x:v>
      </x:c>
      <x:c r="C133" s="2" t="s">
        <x:v>84</x:v>
      </x:c>
    </x:row>
    <x:row r="134" ht="15" hidden="0">
      <x:c r="A134" s="2" t="s">
        <x:v>775</x:v>
      </x:c>
      <x:c r="B134" s="2" t="s">
        <x:v>775</x:v>
      </x:c>
      <x:c r="C134" s="2" t="s">
        <x:v>84</x:v>
      </x:c>
    </x:row>
    <x:row r="135" ht="15" hidden="0">
      <x:c r="A135" s="2" t="s">
        <x:v>407</x:v>
      </x:c>
      <x:c r="B135" s="2" t="s">
        <x:v>397</x:v>
      </x:c>
      <x:c r="C135" s="2" t="s">
        <x:v>84</x:v>
      </x:c>
    </x:row>
    <x:row r="136" ht="15" hidden="0">
      <x:c r="A136" s="2" t="s">
        <x:v>685</x:v>
      </x:c>
      <x:c r="B136" s="2" t="s">
        <x:v>401</x:v>
      </x:c>
      <x:c r="C136" s="2" t="s">
        <x:v>84</x:v>
      </x:c>
    </x:row>
    <x:row r="137" ht="15" hidden="0">
      <x:c r="A137" s="2" t="s">
        <x:v>412</x:v>
      </x:c>
      <x:c r="B137" s="2" t="s">
        <x:v>407</x:v>
      </x:c>
      <x:c r="C137" s="2" t="s">
        <x:v>84</x:v>
      </x:c>
    </x:row>
    <x:row r="138" ht="15" hidden="0">
      <x:c r="A138" s="2" t="s">
        <x:v>210</x:v>
      </x:c>
      <x:c r="B138" s="2" t="s">
        <x:v>218</x:v>
      </x:c>
      <x:c r="C138" s="2" t="s">
        <x:v>224</x:v>
      </x:c>
    </x:row>
    <x:row r="139" ht="15" hidden="0">
      <x:c r="A139" s="2" t="s">
        <x:v>776</x:v>
      </x:c>
      <x:c r="B139" s="2" t="s">
        <x:v>777</x:v>
      </x:c>
      <x:c r="C139" s="2" t="s">
        <x:v>224</x:v>
      </x:c>
    </x:row>
    <x:row r="140" ht="15" hidden="0">
      <x:c r="A140" s="2" t="s">
        <x:v>778</x:v>
      </x:c>
      <x:c r="B140" s="2" t="s">
        <x:v>779</x:v>
      </x:c>
      <x:c r="C140" s="2" t="s">
        <x:v>224</x:v>
      </x:c>
    </x:row>
    <x:row r="141" ht="15" hidden="0">
      <x:c r="A141" s="2" t="s">
        <x:v>780</x:v>
      </x:c>
      <x:c r="B141" s="2" t="s">
        <x:v>781</x:v>
      </x:c>
      <x:c r="C141" s="2" t="s">
        <x:v>224</x:v>
      </x:c>
    </x:row>
    <x:row r="142" ht="15" hidden="0">
      <x:c r="A142" s="2" t="s">
        <x:v>782</x:v>
      </x:c>
      <x:c r="B142" s="2" t="s">
        <x:v>783</x:v>
      </x:c>
      <x:c r="C142" s="2" t="s">
        <x:v>224</x:v>
      </x:c>
    </x:row>
    <x:row r="143" ht="15" hidden="0">
      <x:c r="A143" s="2" t="s">
        <x:v>691</x:v>
      </x:c>
      <x:c r="B143" s="2" t="s">
        <x:v>778</x:v>
      </x:c>
      <x:c r="C143" s="2" t="s">
        <x:v>224</x:v>
      </x:c>
    </x:row>
    <x:row r="144" ht="15" hidden="0">
      <x:c r="A144" s="2" t="s">
        <x:v>777</x:v>
      </x:c>
      <x:c r="B144" s="2" t="s">
        <x:v>776</x:v>
      </x:c>
      <x:c r="C144" s="2" t="s">
        <x:v>224</x:v>
      </x:c>
    </x:row>
    <x:row r="145" ht="15" hidden="0">
      <x:c r="A145" s="2" t="s">
        <x:v>779</x:v>
      </x:c>
      <x:c r="B145" s="2" t="s">
        <x:v>780</x:v>
      </x:c>
      <x:c r="C145" s="2" t="s">
        <x:v>224</x:v>
      </x:c>
    </x:row>
    <x:row r="146" ht="15" hidden="0">
      <x:c r="A146" s="2" t="s">
        <x:v>781</x:v>
      </x:c>
      <x:c r="B146" s="2" t="s">
        <x:v>782</x:v>
      </x:c>
      <x:c r="C146" s="2" t="s">
        <x:v>224</x:v>
      </x:c>
    </x:row>
    <x:row r="147" ht="15" hidden="0">
      <x:c r="A147" s="2" t="s">
        <x:v>783</x:v>
      </x:c>
      <x:c r="B147" s="2" t="s">
        <x:v>727</x:v>
      </x:c>
      <x:c r="C147" s="2" t="s">
        <x:v>224</x:v>
      </x:c>
    </x:row>
    <x:row r="148" ht="15" hidden="0">
      <x:c r="A148" s="2" t="s">
        <x:v>511</x:v>
      </x:c>
      <x:c r="B148" s="2" t="s">
        <x:v>511</x:v>
      </x:c>
      <x:c r="C148" s="2" t="s">
        <x:v>107</x:v>
      </x:c>
    </x:row>
    <x:row r="149" ht="15" hidden="0">
      <x:c r="A149" s="2" t="s">
        <x:v>738</x:v>
      </x:c>
      <x:c r="B149" s="2" t="s">
        <x:v>765</x:v>
      </x:c>
      <x:c r="C149" s="2" t="s">
        <x:v>107</x:v>
      </x:c>
    </x:row>
    <x:row r="150" ht="15" hidden="0">
      <x:c r="A150" s="2" t="s">
        <x:v>784</x:v>
      </x:c>
      <x:c r="B150" s="2" t="s">
        <x:v>762</x:v>
      </x:c>
      <x:c r="C150" s="2" t="s">
        <x:v>107</x:v>
      </x:c>
    </x:row>
    <x:row r="151" ht="15" hidden="0">
      <x:c r="A151" s="2" t="s">
        <x:v>785</x:v>
      </x:c>
      <x:c r="B151" s="2" t="s">
        <x:v>785</x:v>
      </x:c>
      <x:c r="C151" s="2" t="s">
        <x:v>107</x:v>
      </x:c>
    </x:row>
    <x:row r="152" ht="15" hidden="0">
      <x:c r="A152" s="2" t="s">
        <x:v>786</x:v>
      </x:c>
      <x:c r="B152" s="2" t="s">
        <x:v>103</x:v>
      </x:c>
      <x:c r="C152" s="2" t="s">
        <x:v>107</x:v>
      </x:c>
    </x:row>
    <x:row r="153" ht="15" hidden="0">
      <x:c r="A153" s="2" t="s">
        <x:v>737</x:v>
      </x:c>
      <x:c r="B153" s="2" t="s">
        <x:v>787</x:v>
      </x:c>
      <x:c r="C153" s="2" t="s">
        <x:v>107</x:v>
      </x:c>
    </x:row>
    <x:row r="154" ht="15" hidden="0">
      <x:c r="A154" s="2" t="s">
        <x:v>787</x:v>
      </x:c>
      <x:c r="B154" s="2" t="s">
        <x:v>788</x:v>
      </x:c>
      <x:c r="C154" s="2" t="s">
        <x:v>107</x:v>
      </x:c>
    </x:row>
    <x:row r="155" ht="15" hidden="0">
      <x:c r="A155" s="2" t="s">
        <x:v>789</x:v>
      </x:c>
      <x:c r="B155" s="2" t="s">
        <x:v>784</x:v>
      </x:c>
      <x:c r="C155" s="2" t="s">
        <x:v>107</x:v>
      </x:c>
    </x:row>
    <x:row r="156" ht="15" hidden="0">
      <x:c r="A156" s="2" t="s">
        <x:v>790</x:v>
      </x:c>
      <x:c r="B156" s="2" t="s">
        <x:v>786</x:v>
      </x:c>
      <x:c r="C156" s="2" t="s">
        <x:v>107</x:v>
      </x:c>
    </x:row>
    <x:row r="157" ht="15" hidden="0">
      <x:c r="A157" s="2" t="s">
        <x:v>103</x:v>
      </x:c>
      <x:c r="B157" s="2" t="s">
        <x:v>789</x:v>
      </x:c>
      <x:c r="C157" s="2" t="s">
        <x:v>107</x:v>
      </x:c>
    </x:row>
    <x:row r="158" ht="15" hidden="0">
      <x:c r="A158" s="2" t="s">
        <x:v>788</x:v>
      </x:c>
      <x:c r="B158" s="2" t="s">
        <x:v>790</x:v>
      </x:c>
      <x:c r="C158" s="2" t="s">
        <x:v>107</x:v>
      </x:c>
    </x:row>
    <x:row r="159" ht="15" hidden="0">
      <x:c r="A159" s="2" t="s">
        <x:v>183</x:v>
      </x:c>
      <x:c r="B159" s="2" t="s">
        <x:v>183</x:v>
      </x:c>
      <x:c r="C159" s="2" t="s">
        <x:v>107</x:v>
      </x:c>
    </x:row>
    <x:row r="160" ht="15" hidden="0">
      <x:c r="A160" s="2" t="s">
        <x:v>791</x:v>
      </x:c>
      <x:c r="B160" s="2" t="s">
        <x:v>792</x:v>
      </x:c>
      <x:c r="C160" s="2" t="s">
        <x:v>107</x:v>
      </x:c>
    </x:row>
    <x:row r="161" ht="15" hidden="0">
      <x:c r="A161" s="2" t="s">
        <x:v>793</x:v>
      </x:c>
      <x:c r="B161" s="2" t="s">
        <x:v>791</x:v>
      </x:c>
      <x:c r="C161" s="2" t="s">
        <x:v>107</x:v>
      </x:c>
    </x:row>
    <x:row r="162" ht="15" hidden="0">
      <x:c r="A162" s="2" t="s">
        <x:v>792</x:v>
      </x:c>
      <x:c r="B162" s="2" t="s">
        <x:v>793</x:v>
      </x:c>
      <x:c r="C162" s="2" t="s">
        <x:v>107</x:v>
      </x:c>
    </x:row>
    <x:row r="163" ht="15" hidden="0">
      <x:c r="A163" s="2" t="s">
        <x:v>427</x:v>
      </x:c>
      <x:c r="B163" s="2" t="s">
        <x:v>412</x:v>
      </x:c>
      <x:c r="C163" s="2" t="s">
        <x:v>107</x:v>
      </x:c>
    </x:row>
    <x:row r="164" ht="15" hidden="0">
      <x:c r="A164" s="2" t="s">
        <x:v>436</x:v>
      </x:c>
      <x:c r="B164" s="2" t="s">
        <x:v>418</x:v>
      </x:c>
      <x:c r="C164" s="2" t="s">
        <x:v>107</x:v>
      </x:c>
    </x:row>
    <x:row r="165" ht="15" hidden="0">
      <x:c r="A165" s="2" t="s">
        <x:v>418</x:v>
      </x:c>
      <x:c r="B165" s="2" t="s">
        <x:v>423</x:v>
      </x:c>
      <x:c r="C165" s="2" t="s">
        <x:v>107</x:v>
      </x:c>
    </x:row>
    <x:row r="166" ht="15" hidden="0">
      <x:c r="A166" s="2" t="s">
        <x:v>423</x:v>
      </x:c>
      <x:c r="B166" s="2" t="s">
        <x:v>427</x:v>
      </x:c>
      <x:c r="C166" s="2" t="s">
        <x:v>107</x:v>
      </x:c>
    </x:row>
    <x:row r="167" ht="15" hidden="0">
      <x:c r="A167" s="2" t="s">
        <x:v>432</x:v>
      </x:c>
      <x:c r="B167" s="2" t="s">
        <x:v>432</x:v>
      </x:c>
      <x:c r="C167" s="2" t="s">
        <x:v>107</x:v>
      </x:c>
    </x:row>
    <x:row r="168" ht="15" hidden="0">
      <x:c r="A168" s="2" t="s">
        <x:v>188</x:v>
      </x:c>
      <x:c r="B168" s="2" t="s">
        <x:v>188</x:v>
      </x:c>
      <x:c r="C168" s="2" t="s">
        <x:v>194</x:v>
      </x:c>
    </x:row>
    <x:row r="169" ht="15" hidden="0">
      <x:c r="A169" s="2" t="s">
        <x:v>794</x:v>
      </x:c>
      <x:c r="B169" s="2" t="s">
        <x:v>794</x:v>
      </x:c>
      <x:c r="C169" s="2" t="s">
        <x:v>194</x:v>
      </x:c>
    </x:row>
    <x:row r="170" ht="15" hidden="0">
      <x:c r="A170" s="2" t="s">
        <x:v>397</x:v>
      </x:c>
      <x:c r="B170" s="2" t="s">
        <x:v>795</x:v>
      </x:c>
      <x:c r="C170" s="2" t="s">
        <x:v>796</x:v>
      </x:c>
    </x:row>
    <x:row r="171" ht="15" hidden="0">
      <x:c r="A171" s="2" t="s">
        <x:v>249</x:v>
      </x:c>
      <x:c r="B171" s="2" t="s">
        <x:v>795</x:v>
      </x:c>
      <x:c r="C171" s="2" t="s">
        <x:v>797</x:v>
      </x:c>
    </x:row>
    <x:row r="172" ht="15" hidden="0">
      <x:c r="A172" s="2" t="s">
        <x:v>761</x:v>
      </x:c>
      <x:c r="B172" s="2" t="s">
        <x:v>795</x:v>
      </x:c>
      <x:c r="C172" s="2" t="s">
        <x:v>798</x:v>
      </x:c>
    </x:row>
    <x:row r="173" ht="15" hidden="0">
      <x:c r="A173" s="2" t="s">
        <x:v>630</x:v>
      </x:c>
      <x:c r="B173" s="2" t="s">
        <x:v>795</x:v>
      </x:c>
      <x:c r="C173" s="2" t="s">
        <x:v>799</x:v>
      </x:c>
    </x:row>
    <x:row r="174" ht="15" hidden="0">
      <x:c r="A174" s="2" t="s">
        <x:v>763</x:v>
      </x:c>
      <x:c r="B174" s="2" t="s">
        <x:v>795</x:v>
      </x:c>
      <x:c r="C174" s="2" t="s">
        <x:v>800</x:v>
      </x:c>
    </x:row>
    <x:row r="175" ht="15" hidden="0">
      <x:c r="A175" s="2" t="s">
        <x:v>764</x:v>
      </x:c>
      <x:c r="B175" s="2" t="s">
        <x:v>795</x:v>
      </x:c>
      <x:c r="C175" s="2" t="s">
        <x:v>801</x:v>
      </x:c>
    </x:row>
    <x:row r="176" ht="15" hidden="0">
      <x:c r="A176" s="2" t="s">
        <x:v>295</x:v>
      </x:c>
      <x:c r="B176" s="2" t="s">
        <x:v>795</x:v>
      </x:c>
      <x:c r="C176" s="2" t="s">
        <x:v>802</x:v>
      </x:c>
    </x:row>
    <x:row r="177" ht="15" hidden="0">
      <x:c r="A177" s="2" t="s">
        <x:v>769</x:v>
      </x:c>
      <x:c r="B177" s="2" t="s">
        <x:v>795</x:v>
      </x:c>
      <x:c r="C177" s="2" t="s">
        <x:v>803</x:v>
      </x:c>
    </x:row>
    <x:row r="178" ht="15" hidden="0">
      <x:c r="A178" s="2" t="s">
        <x:v>401</x:v>
      </x:c>
      <x:c r="B178" s="2" t="s">
        <x:v>795</x:v>
      </x:c>
      <x:c r="C178" s="2" t="s">
        <x:v>804</x:v>
      </x:c>
    </x:row>
    <x:row r="179" ht="15" hidden="0">
      <x:c r="A179" s="2" t="s">
        <x:v>627</x:v>
      </x:c>
      <x:c r="B179" s="2" t="s">
        <x:v>795</x:v>
      </x:c>
      <x:c r="C179" s="2" t="s">
        <x:v>805</x:v>
      </x:c>
    </x:row>
  </x:sheetData>
  <x:pageMargins left="0.7" right="0.7" top="0.75" bottom="0.75" header="0.3" footer="0.3"/>
</x:worksheet>
</file>